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8612666af04056" /></Relationships>
</file>

<file path=xl/workbook.xml><?xml version="1.0" encoding="utf-8"?>
<x:workbook xmlns:x="http://schemas.openxmlformats.org/spreadsheetml/2006/main">
  <x:sheets>
    <x:sheet xmlns:r="http://schemas.openxmlformats.org/officeDocument/2006/relationships" name="Overview" sheetId="1" r:id="R8dedf33ef21c471d"/>
    <x:sheet xmlns:r="http://schemas.openxmlformats.org/officeDocument/2006/relationships" name="Taxonomy_19" sheetId="2" r:id="R2a13c24f91344bd8"/>
    <x:sheet xmlns:r="http://schemas.openxmlformats.org/officeDocument/2006/relationships" name="CoreV2_Reuse_48" sheetId="3" r:id="R2dd731091ff44379"/>
    <x:sheet xmlns:r="http://schemas.openxmlformats.org/officeDocument/2006/relationships" name="New_Designs_13" sheetId="4" r:id="Ra5e976fabbef4b26"/>
    <x:sheet xmlns:r="http://schemas.openxmlformats.org/officeDocument/2006/relationships" name="All_61_Map" sheetId="5" r:id="R60f690e25783476b"/>
    <x:sheet xmlns:r="http://schemas.openxmlformats.org/officeDocument/2006/relationships" name="Gap_Backlog" sheetId="6" r:id="R8c957a6e14dd4ae2"/>
    <x:sheet xmlns:r="http://schemas.openxmlformats.org/officeDocument/2006/relationships" name="Scene_Shortlist" sheetId="7" r:id="R38b78274c1a94e55"/>
    <x:sheet xmlns:r="http://schemas.openxmlformats.org/officeDocument/2006/relationships" name="Scene_Gates" sheetId="8" r:id="R0bc6af74692b4969"/>
    <x:sheet xmlns:r="http://schemas.openxmlformats.org/officeDocument/2006/relationships" name="Pipeline" sheetId="9" r:id="R95bbbd406a614d76"/>
    <x:sheet xmlns:r="http://schemas.openxmlformats.org/officeDocument/2006/relationships" name="Sources" sheetId="10" r:id="R0eab068f900e4d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5"/>
      <x:color rgb="FFFFFFFF"/>
      <x:name val="Carlito"/>
    </x:font>
    <x:font>
      <x:sz val="10"/>
      <x:color rgb="FF243648"/>
      <x:name val="Carlito"/>
    </x:font>
    <x:font>
      <x:b/>
      <x:sz val="10"/>
      <x:color rgb="FFFFFFFF"/>
      <x:name val="Carlito"/>
    </x:font>
    <x:font>
      <x:b/>
      <x:sz val="11"/>
      <x:color rgb="FFFFFFFF"/>
      <x:name val="Carlito"/>
    </x:font>
  </x:fonts>
  <x:fills count="8">
    <x:fill>
      <x:patternFill patternType="none"/>
    </x:fill>
    <x:fill>
      <x:patternFill patternType="gray125"/>
    </x:fill>
    <x:fill>
      <x:patternFill patternType="solid">
        <x:fgColor rgb="FF12283E"/>
      </x:patternFill>
    </x:fill>
    <x:fill>
      <x:patternFill patternType="solid">
        <x:fgColor rgb="FFEAF2F8"/>
      </x:patternFill>
    </x:fill>
    <x:fill>
      <x:patternFill patternType="solid">
        <x:fgColor rgb="FF245D85"/>
      </x:patternFill>
    </x:fill>
    <x:fill>
      <x:patternFill patternType="solid">
        <x:fgColor rgb="FFFFF0D3"/>
      </x:patternFill>
    </x:fill>
    <x:fill>
      <x:patternFill patternType="solid">
        <x:fgColor rgb="FFDDF1E5"/>
      </x:patternFill>
    </x:fill>
    <x:fill>
      <x:patternFill patternType="solid">
        <x:fgColor rgb="FFF7DBD9"/>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4" fillId="4" borderId="0" xfId="0" applyNumberFormat="1" applyFont="1" applyFill="1" applyBorder="1"/>
    <x:xf numFmtId="0" fontId="4" fillId="4" borderId="1" xfId="0" applyNumberFormat="1" applyFont="1" applyFill="1" applyBorder="1"/>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20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200" fontId="0" fillId="5"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81d8159a5e4ab7" /><Relationship Type="http://schemas.openxmlformats.org/officeDocument/2006/relationships/theme" Target="/xl/theme/theme1.xml" Id="Rcb0b99d37c9b407a" /><Relationship Type="http://schemas.openxmlformats.org/officeDocument/2006/relationships/sharedStrings" Target="/xl/sharedStrings.xml" Id="R18da0f241da14733" /><Relationship Type="http://schemas.openxmlformats.org/officeDocument/2006/relationships/worksheet" Target="/xl/worksheets/sheet1.xml" Id="R8dedf33ef21c471d" /><Relationship Type="http://schemas.openxmlformats.org/officeDocument/2006/relationships/worksheet" Target="/xl/worksheets/sheet2.xml" Id="R2a13c24f91344bd8" /><Relationship Type="http://schemas.openxmlformats.org/officeDocument/2006/relationships/worksheet" Target="/xl/worksheets/sheet3.xml" Id="R2dd731091ff44379" /><Relationship Type="http://schemas.openxmlformats.org/officeDocument/2006/relationships/worksheet" Target="/xl/worksheets/sheet4.xml" Id="Ra5e976fabbef4b26" /><Relationship Type="http://schemas.openxmlformats.org/officeDocument/2006/relationships/worksheet" Target="/xl/worksheets/sheet5.xml" Id="R60f690e25783476b" /><Relationship Type="http://schemas.openxmlformats.org/officeDocument/2006/relationships/worksheet" Target="/xl/worksheets/sheet6.xml" Id="R8c957a6e14dd4ae2" /><Relationship Type="http://schemas.openxmlformats.org/officeDocument/2006/relationships/worksheet" Target="/xl/worksheets/sheet7.xml" Id="R38b78274c1a94e55" /><Relationship Type="http://schemas.openxmlformats.org/officeDocument/2006/relationships/worksheet" Target="/xl/worksheets/sheet8.xml" Id="R0bc6af74692b4969" /><Relationship Type="http://schemas.openxmlformats.org/officeDocument/2006/relationships/worksheet" Target="/xl/worksheets/sheet9.xml" Id="R95bbbd406a614d76" /><Relationship Type="http://schemas.openxmlformats.org/officeDocument/2006/relationships/worksheet" Target="/xl/worksheets/sheet10.xml" Id="R0eab068f900e4d7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b828e56e0224cb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Current candidate coverage by major family</a:t>
            </a:r>
          </a:p>
        </c:rich>
      </c:tx>
      <c:overlay val="0"/>
    </c:title>
    <c:plotArea>
      <c:barChart>
        <c:barDir val="col"/>
        <c:varyColors val="0"/>
        <c:ser>
          <c:idx val="0"/>
          <c:order val="0"/>
          <c:tx>
            <c:v>Research Family</c:v>
          </c:tx>
          <c:cat>
            <c:strRef>
              <c:f>'Overview'!$A$20:$A$25</c:f>
              <c:strCache>
                <c:ptCount val="0"/>
              </c:strCache>
            </c:strRef>
          </c:cat>
          <c:val>
            <c:numRef>
              <c:f>'Overview'!$B$20:$B$25</c:f>
              <c:numCache>
                <c:formatCode>General</c:formatCode>
                <c:ptCount val="0"/>
              </c:numCache>
            </c:numRef>
          </c:val>
        </c:ser>
        <c:ser>
          <c:idx val="1"/>
          <c:order val="1"/>
          <c:tx>
            <c:v>候选</c:v>
          </c:tx>
          <c:cat>
            <c:strRef>
              <c:f>'Overview'!$A$20:$A$25</c:f>
              <c:strCache>
                <c:ptCount val="0"/>
              </c:strCache>
            </c:strRef>
          </c:cat>
          <c:val>
            <c:numRef>
              <c:f>'Overview'!$C$20:$C$25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14</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828e56e0224cb6"/>
        </a:graphicData>
      </a:graphic>
    </xdr:graphicFrame>
    <xdr:clientData/>
  </xdr:twoCellAnchor>
</xdr:wsDr>
</file>

<file path=xl/tables/table1.xml><?xml version="1.0" encoding="utf-8"?>
<x:table xmlns:x="http://schemas.openxmlformats.org/spreadsheetml/2006/main" id="1" name="WIA19Taxonomy" displayName="WIA19Taxonomy" ref="A5:L24" headerRowCount="1" totalsRowCount="0" totalsRowShown="0">
  <x:tableColumns count="12">
    <x:tableColumn id="1" name="Subclass ID"/>
    <x:tableColumn id="2" name="Major ID"/>
    <x:tableColumn id="3" name="Major Family"/>
    <x:tableColumn id="4" name="Subclass"/>
    <x:tableColumn id="5" name="中文子类"/>
    <x:tableColumn id="6" name="科学问题/必要机制"/>
    <x:tableColumn id="7" name="真实物理完成条件"/>
    <x:tableColumn id="8" name="候选数"/>
    <x:tableColumn id="9" name="CoreV2数"/>
    <x:tableColumn id="10" name="新设计数"/>
    <x:tableColumn id="11" name="已有任务ID"/>
    <x:tableColumn id="12" name="分类覆盖状态"/>
  </x:tableColumns>
  <x:tableStyleInfo name="TableStyleMedium2" showFirstColumn="0" showLastColumn="0" showRowStripes="1" showColumnStripes="0"/>
</x:table>
</file>

<file path=xl/tables/table2.xml><?xml version="1.0" encoding="utf-8"?>
<x:table xmlns:x="http://schemas.openxmlformats.org/spreadsheetml/2006/main" id="3" name="WIACore48" displayName="WIACore48" ref="A5:L53" headerRowCount="1" totalsRowCount="0" totalsRowShown="0">
  <x:tableColumns count="12">
    <x:tableColumn id="1" name="Task"/>
    <x:tableColumn id="2" name="CoreV2 ID"/>
    <x:tableColumn id="3" name="New subclass"/>
    <x:tableColumn id="4" name="Subcategory"/>
    <x:tableColumn id="5" name="Reuse level"/>
    <x:tableColumn id="6" name="Reuse meaning"/>
    <x:tableColumn id="7" name="Scene"/>
    <x:tableColumn id="8" name="Room"/>
    <x:tableColumn id="9" name="Entity inventory evidence"/>
    <x:tableColumn id="10" name="Prior recommendation"/>
    <x:tableColumn id="11" name="Next repair/action"/>
    <x:tableColumn id="12" name="Pinned source"/>
  </x:tableColumns>
  <x:tableStyleInfo name="TableStyleMedium2" showFirstColumn="0" showLastColumn="0" showRowStripes="1" showColumnStripes="0"/>
</x:table>
</file>

<file path=xl/tables/table3.xml><?xml version="1.0" encoding="utf-8"?>
<x:table xmlns:x="http://schemas.openxmlformats.org/spreadsheetml/2006/main" id="4" name="WIANew13" displayName="WIANew13" ref="A5:K18" headerRowCount="1" totalsRowCount="0" totalsRowShown="0">
  <x:tableColumns count="11">
    <x:tableColumn id="1" name="Draft ID"/>
    <x:tableColumn id="2" name="Subclass"/>
    <x:tableColumn id="3" name="Subcategory"/>
    <x:tableColumn id="4" name="Asset reuse"/>
    <x:tableColumn id="5" name="Candidate scene"/>
    <x:tableColumn id="6" name="Room"/>
    <x:tableColumn id="7" name="Target entities"/>
    <x:tableColumn id="8" name="Spatial hints"/>
    <x:tableColumn id="9" name="Previous recommendation"/>
    <x:tableColumn id="10" name="Needed construction"/>
    <x:tableColumn id="11" name="ESI source"/>
  </x:tableColumns>
  <x:tableStyleInfo name="TableStyleMedium2" showFirstColumn="0" showLastColumn="0" showRowStripes="1" showColumnStripes="0"/>
</x:table>
</file>

<file path=xl/tables/table4.xml><?xml version="1.0" encoding="utf-8"?>
<x:table xmlns:x="http://schemas.openxmlformats.org/spreadsheetml/2006/main" id="2" name="WIAAll61" displayName="WIAAll61" ref="A5:U66" headerRowCount="1" totalsRowCount="0" totalsRowShown="0">
  <x:tableColumns count="21">
    <x:tableColumn id="1" name="Task"/>
    <x:tableColumn id="2" name="Canonical/source ID"/>
    <x:tableColumn id="3" name="Origin"/>
    <x:tableColumn id="4" name="Major"/>
    <x:tableColumn id="5" name="Subclass ID"/>
    <x:tableColumn id="6" name="Subcategory"/>
    <x:tableColumn id="7" name="Reuse"/>
    <x:tableColumn id="8" name="Previous rollout priority"/>
    <x:tableColumn id="9" name="ESI Big"/>
    <x:tableColumn id="10" name="ESI Small"/>
    <x:tableColumn id="11" name="Scene ID"/>
    <x:tableColumn id="12" name="Room"/>
    <x:tableColumn id="13" name="Targets"/>
    <x:tableColumn id="14" name="Task-related entities"/>
    <x:tableColumn id="15" name="Core risk"/>
    <x:tableColumn id="16" name="Recommended fix"/>
    <x:tableColumn id="17" name="Scope"/>
    <x:tableColumn id="18" name="Known label m²"/>
    <x:tableColumn id="19" name="Source route m"/>
    <x:tableColumn id="20" name="Available evidence"/>
    <x:tableColumn id="21" name="Source URL"/>
  </x:tableColumns>
  <x:tableStyleInfo name="TableStyleMedium2" showFirstColumn="0" showLastColumn="0" showRowStripes="1" showColumnStripes="0"/>
</x:table>
</file>

<file path=xl/tables/table5.xml><?xml version="1.0" encoding="utf-8"?>
<x:table xmlns:x="http://schemas.openxmlformats.org/spreadsheetml/2006/main" id="5" name="WIAGaps" displayName="WIAGaps" ref="A5:G17" headerRowCount="1" totalsRowCount="0" totalsRowShown="0">
  <x:tableColumns count="7">
    <x:tableColumn id="1" name="Subclass"/>
    <x:tableColumn id="2" name="Gap type"/>
    <x:tableColumn id="3" name="Design coverage"/>
    <x:tableColumn id="4" name="Priority"/>
    <x:tableColumn id="5" name="Minimum viable fix"/>
    <x:tableColumn id="6" name="Scene candidates"/>
    <x:tableColumn id="7" name="Scientific admission test"/>
  </x:tableColumns>
  <x:tableStyleInfo name="TableStyleMedium2" showFirstColumn="0" showLastColumn="0" showRowStripes="1" showColumnStripes="0"/>
</x:table>
</file>

<file path=xl/tables/table6.xml><?xml version="1.0" encoding="utf-8"?>
<x:table xmlns:x="http://schemas.openxmlformats.org/spreadsheetml/2006/main" id="6" name="WIASceneCandidates" displayName="WIASceneCandidates" ref="A5:K26" headerRowCount="1" totalsRowCount="0" totalsRowShown="0">
  <x:tableColumns count="11">
    <x:tableColumn id="1" name="Rank/row"/>
    <x:tableColumn id="2" name="Slot"/>
    <x:tableColumn id="3" name="Scene ID"/>
    <x:tableColumn id="4" name="Room"/>
    <x:tableColumn id="5" name="Reuse source"/>
    <x:tableColumn id="6" name="Candidate task mechanism"/>
    <x:tableColumn id="7" name="Known asset/scene support"/>
    <x:tableColumn id="8" name="Main blocker"/>
    <x:tableColumn id="9" name="Priority"/>
    <x:tableColumn id="10" name="Admission experiment"/>
    <x:tableColumn id="11" name="Native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612c6073d3c4cb4" /></Relationships>
</file>

<file path=xl/worksheets/_rels/sheet2.xml.rels>&#65279;<?xml version="1.0" encoding="utf-8"?><Relationships xmlns="http://schemas.openxmlformats.org/package/2006/relationships"><Relationship Type="http://schemas.openxmlformats.org/officeDocument/2006/relationships/table" Target="/xl/tables/table1.xml" Id="Rb7142ecded2549d8" /></Relationships>
</file>

<file path=xl/worksheets/_rels/sheet3.xml.rels>&#65279;<?xml version="1.0" encoding="utf-8"?><Relationships xmlns="http://schemas.openxmlformats.org/package/2006/relationships"><Relationship Type="http://schemas.openxmlformats.org/officeDocument/2006/relationships/table" Target="/xl/tables/table2.xml" Id="R7b6e489f306b4c2f" /></Relationships>
</file>

<file path=xl/worksheets/_rels/sheet4.xml.rels>&#65279;<?xml version="1.0" encoding="utf-8"?><Relationships xmlns="http://schemas.openxmlformats.org/package/2006/relationships"><Relationship Type="http://schemas.openxmlformats.org/officeDocument/2006/relationships/table" Target="/xl/tables/table3.xml" Id="R85192937f353458a" /></Relationships>
</file>

<file path=xl/worksheets/_rels/sheet5.xml.rels>&#65279;<?xml version="1.0" encoding="utf-8"?><Relationships xmlns="http://schemas.openxmlformats.org/package/2006/relationships"><Relationship Type="http://schemas.openxmlformats.org/officeDocument/2006/relationships/table" Target="/xl/tables/table4.xml" Id="Rddb06b298295468c" /></Relationships>
</file>

<file path=xl/worksheets/_rels/sheet6.xml.rels>&#65279;<?xml version="1.0" encoding="utf-8"?><Relationships xmlns="http://schemas.openxmlformats.org/package/2006/relationships"><Relationship Type="http://schemas.openxmlformats.org/officeDocument/2006/relationships/table" Target="/xl/tables/table5.xml" Id="R37d1cf20ac744fad" /></Relationships>
</file>

<file path=xl/worksheets/_rels/sheet7.xml.rels>&#65279;<?xml version="1.0" encoding="utf-8"?><Relationships xmlns="http://schemas.openxmlformats.org/package/2006/relationships"><Relationship Type="http://schemas.openxmlformats.org/officeDocument/2006/relationships/table" Target="/xl/tables/table6.xml" Id="Rdd7f1ddb49964d6c"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46" hidden="0" customWidth="1"/>
    <x:col min="3" max="3" width="17" hidden="0" customWidth="1"/>
    <x:col min="4" max="4" width="19" hidden="0" customWidth="1"/>
    <x:col min="5" max="5" width="19" hidden="0" customWidth="1"/>
  </x:cols>
  <x:sheetData>
    <x:row r="1" ht="24" customHeight="1">
      <x:c r="A1" s="4" t="str">
        <x:v>WIA | TAXONOMY-FIRST REORGANIZATION</x:v>
      </x:c>
      <x:c r="B1" s="4"/>
      <x:c r="C1" s="4"/>
    </x:row>
    <x:row r="2" ht="24" customHeight="1">
      <x:c r="A2" s="4"/>
      <x:c r="B2" s="4"/>
      <x:c r="C2" s="4"/>
    </x:row>
    <x:row r="3" ht="30" customHeight="1">
      <x:c r="A3" s="10" t="str">
        <x:v>2026-10-22 • Science-first taxonomy → CoreV2 reuse → scene screening → build &amp; certify</x:v>
      </x:c>
      <x:c r="B3" s="10"/>
      <x:c r="C3" s="10"/>
    </x:row>
    <x:row r="5" ht="32" customHeight="1">
      <x:c r="A5" s="17" t="str">
        <x:v>指标</x:v>
      </x:c>
      <x:c r="B5" s="17" t="str">
        <x:v>数值</x:v>
      </x:c>
      <x:c r="C5" s="17" t="str">
        <x:v>解释</x:v>
      </x:c>
    </x:row>
    <x:row r="6" ht="31" customHeight="1">
      <x:c r="A6" s="26" t="str">
        <x:v>候选总量</x:v>
      </x:c>
      <x:c r="B6" s="26" t="n">
        <x:v>61</x:v>
      </x:c>
      <x:c r="C6" s="26" t="str">
        <x:v>CoreV2历史51项中3项已被替换；再新增13项设计。</x:v>
      </x:c>
    </x:row>
    <x:row r="7" ht="31" customHeight="1">
      <x:c r="A7" s="26" t="str">
        <x:v>CoreV2保留</x:v>
      </x:c>
      <x:c r="B7" s="26" t="n">
        <x:v>48</x:v>
      </x:c>
      <x:c r="C7" s="26" t="str">
        <x:v>48条具有已审计任务文件引用，未证明48个已可运行任务。</x:v>
      </x:c>
    </x:row>
    <x:row r="8" ht="31" customHeight="1">
      <x:c r="A8" s="24" t="str">
        <x:v>Mirror设计</x:v>
      </x:c>
      <x:c r="B8" s="24" t="n">
        <x:v>8</x:v>
      </x:c>
      <x:c r="C8" s="24" t="str">
        <x:v>R-C1–3, R-S1–3, R-A1–2，源/光学Converter可复用。</x:v>
      </x:c>
    </x:row>
    <x:row r="9" ht="31" customHeight="1">
      <x:c r="A9" s="24" t="str">
        <x:v>Dimensional设计</x:v>
      </x:c>
      <x:c r="B9" s="24" t="n">
        <x:v>5</x:v>
      </x:c>
      <x:c r="C9" s="24" t="str">
        <x:v>D1-1–3、D2-1–2，物理装置和评分器需实现。</x:v>
      </x:c>
    </x:row>
    <x:row r="10" ht="31" customHeight="1">
      <x:c r="A10" s="24" t="str">
        <x:v>稳定大类</x:v>
      </x:c>
      <x:c r="B10" s="24" t="n">
        <x:v>6</x:v>
      </x:c>
      <x:c r="C10" s="24" t="str">
        <x:v>按科学问题分类，不与ESI来源类别耦合。</x:v>
      </x:c>
    </x:row>
    <x:row r="11" ht="31" customHeight="1">
      <x:c r="A11" s="24" t="str">
        <x:v>稳定子类</x:v>
      </x:c>
      <x:c r="B11" s="24" t="n">
        <x:v>19</x:v>
      </x:c>
      <x:c r="C11" s="24" t="str">
        <x:v>18项有候选；AP-4 Closed-loop Recovery是空槽。</x:v>
      </x:c>
    </x:row>
    <x:row r="12" ht="31" customHeight="1">
      <x:c r="A12" s="24" t="str">
        <x:v>R0:复用Task/Score</x:v>
      </x:c>
      <x:c r="B12" s="24" t="n">
        <x:v>18</x:v>
      </x:c>
      <x:c r="C12" s="24" t="str">
        <x:v>静态合同保留；物理资格另测。</x:v>
      </x:c>
    </x:row>
    <x:row r="13" ht="31" customHeight="1">
      <x:c r="A13" s="24" t="str">
        <x:v>R1:局部修复</x:v>
      </x:c>
      <x:c r="B13" s="24" t="n">
        <x:v>20</x:v>
      </x:c>
      <x:c r="C13" s="24" t="str">
        <x:v>任务/评分不变，修传感器、几何、可达性。</x:v>
      </x:c>
    </x:row>
    <x:row r="14" ht="31" customHeight="1">
      <x:c r="A14" s="24" t="str">
        <x:v>R2:重订科学任务</x:v>
      </x:c>
      <x:c r="B14" s="24" t="n">
        <x:v>10</x:v>
      </x:c>
      <x:c r="C14" s="24" t="str">
        <x:v>保留场景及Converter，修目标、泄露或反事实。</x:v>
      </x:c>
    </x:row>
    <x:row r="15" ht="31" customHeight="1">
      <x:c r="A15" s="24" t="str">
        <x:v>原生实验本轮</x:v>
      </x:c>
      <x:c r="B15" s="24" t="n">
        <x:v>0</x:v>
      </x:c>
      <x:c r="C15" s="24" t="str">
        <x:v>未连接用户GPU/OmniGibson，全部场景准入状态为待测。</x:v>
      </x:c>
    </x:row>
    <x:row r="19" ht="28" customHeight="1">
      <x:c r="A19" s="28" t="str">
        <x:v>Family Code</x:v>
      </x:c>
      <x:c r="B19" s="28" t="str">
        <x:v>Research Family</x:v>
      </x:c>
      <x:c r="C19" s="28" t="str">
        <x:v>候选</x:v>
      </x:c>
      <x:c r="D19" s="28" t="str">
        <x:v>CoreV2</x:v>
      </x:c>
      <x:c r="E19" s="28" t="str">
        <x:v>New Design</x:v>
      </x:c>
    </x:row>
    <x:row r="20" ht="28" customHeight="1">
      <x:c r="A20" t="str">
        <x:v>AP</x:v>
      </x:c>
      <x:c r="B20" t="str">
        <x:v>Action Planning &amp; Physical Experimentation</x:v>
      </x:c>
      <x:c r="C20" t="n">
        <x:f>COUNTIF(All_61_Map!$D$6:$D$66,A20)</x:f>
        <x:v>10</x:v>
      </x:c>
      <x:c r="D20" t="n">
        <x:f>COUNTIFS(All_61_Map!$D$6:$D$66,A20,All_61_Map!$C$6:$C$66,"CoreV2 retained")</x:f>
        <x:v>10</x:v>
      </x:c>
      <x:c r="E20" t="n">
        <x:f>COUNTIFS(All_61_Map!$D$6:$D$66,A20,All_61_Map!$C$6:$C$66,"Unbuilt new design")</x:f>
        <x:v>0</x:v>
      </x:c>
    </x:row>
    <x:row r="21" ht="28" customHeight="1">
      <x:c r="A21" t="str">
        <x:v>NT</x:v>
      </x:c>
      <x:c r="B21" t="str">
        <x:v>Situated Navigation &amp; Topology</x:v>
      </x:c>
      <x:c r="C21" t="n">
        <x:f>COUNTIF(All_61_Map!$D$6:$D$66,A21)</x:f>
        <x:v>8</x:v>
      </x:c>
      <x:c r="D21" t="n">
        <x:f>COUNTIFS(All_61_Map!$D$6:$D$66,A21,All_61_Map!$C$6:$C$66,"CoreV2 retained")</x:f>
        <x:v>8</x:v>
      </x:c>
      <x:c r="E21" t="n">
        <x:f>COUNTIFS(All_61_Map!$D$6:$D$66,A21,All_61_Map!$C$6:$C$66,"Unbuilt new design")</x:f>
        <x:v>0</x:v>
      </x:c>
    </x:row>
    <x:row r="22" ht="28" customHeight="1">
      <x:c r="A22" t="str">
        <x:v>GF</x:v>
      </x:c>
      <x:c r="B22" t="str">
        <x:v>Geometric Feasibility &amp; Affordance</x:v>
      </x:c>
      <x:c r="C22" t="n">
        <x:f>COUNTIF(All_61_Map!$D$6:$D$66,A22)</x:f>
        <x:v>9</x:v>
      </x:c>
      <x:c r="D22" t="n">
        <x:f>COUNTIFS(All_61_Map!$D$6:$D$66,A22,All_61_Map!$C$6:$C$66,"CoreV2 retained")</x:f>
        <x:v>4</x:v>
      </x:c>
      <x:c r="E22" t="n">
        <x:f>COUNTIFS(All_61_Map!$D$6:$D$66,A22,All_61_Map!$C$6:$C$66,"Unbuilt new design")</x:f>
        <x:v>5</x:v>
      </x:c>
    </x:row>
    <x:row r="23" ht="28" customHeight="1">
      <x:c r="A23" t="str">
        <x:v>SR</x:v>
      </x:c>
      <x:c r="B23" t="str">
        <x:v>Spatial Reasoning-to-Action</x:v>
      </x:c>
      <x:c r="C23" t="n">
        <x:f>COUNTIF(All_61_Map!$D$6:$D$66,A23)</x:f>
        <x:v>12</x:v>
      </x:c>
      <x:c r="D23" t="n">
        <x:f>COUNTIFS(All_61_Map!$D$6:$D$66,A23,All_61_Map!$C$6:$C$66,"CoreV2 retained")</x:f>
        <x:v>9</x:v>
      </x:c>
      <x:c r="E23" t="n">
        <x:f>COUNTIFS(All_61_Map!$D$6:$D$66,A23,All_61_Map!$C$6:$C$66,"Unbuilt new design")</x:f>
        <x:v>3</x:v>
      </x:c>
    </x:row>
    <x:row r="24" ht="28" customHeight="1">
      <x:c r="A24" t="str">
        <x:v>GG</x:v>
      </x:c>
      <x:c r="B24" t="str">
        <x:v>Goal Grounding &amp; Active Perception</x:v>
      </x:c>
      <x:c r="C24" t="n">
        <x:f>COUNTIF(All_61_Map!$D$6:$D$66,A24)</x:f>
        <x:v>14</x:v>
      </x:c>
      <x:c r="D24" t="n">
        <x:f>COUNTIFS(All_61_Map!$D$6:$D$66,A24,All_61_Map!$C$6:$C$66,"CoreV2 retained")</x:f>
        <x:v>9</x:v>
      </x:c>
      <x:c r="E24" t="n">
        <x:f>COUNTIFS(All_61_Map!$D$6:$D$66,A24,All_61_Map!$C$6:$C$66,"Unbuilt new design")</x:f>
        <x:v>5</x:v>
      </x:c>
    </x:row>
    <x:row r="25" ht="28" customHeight="1">
      <x:c r="A25" t="str">
        <x:v>TM</x:v>
      </x:c>
      <x:c r="B25" t="str">
        <x:v>Temporal Memory &amp; World-State Revision</x:v>
      </x:c>
      <x:c r="C25" t="n">
        <x:f>COUNTIF(All_61_Map!$D$6:$D$66,A25)</x:f>
        <x:v>8</x:v>
      </x:c>
      <x:c r="D25" t="n">
        <x:f>COUNTIFS(All_61_Map!$D$6:$D$66,A25,All_61_Map!$C$6:$C$66,"CoreV2 retained")</x:f>
        <x:v>8</x:v>
      </x:c>
      <x:c r="E25" t="n">
        <x:f>COUNTIFS(All_61_Map!$D$6:$D$66,A25,All_61_Map!$C$6:$C$66,"Unbuilt new design")</x:f>
        <x:v>0</x:v>
      </x:c>
    </x:row>
  </x:sheetData>
  <x:mergeCells>
    <x:mergeCell ref="A1:C2"/>
    <x:mergeCell ref="A3:C3"/>
  </x:mergeCells>
  <x:pageMargins left="0.7" right="0.7" top="0.75" bottom="0.75" header="0.3" footer="0.3"/>
  <x:drawing xmlns:r="http://schemas.openxmlformats.org/officeDocument/2006/relationships" r:id="Re612c6073d3c4cb4"/>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5" hidden="0" customWidth="1"/>
    <x:col min="2" max="2" width="12" hidden="0" customWidth="1"/>
    <x:col min="3" max="3" width="37" hidden="0" customWidth="1"/>
    <x:col min="4" max="4" width="38" hidden="0" customWidth="1"/>
    <x:col min="5" max="5" width="28" hidden="0" customWidth="1"/>
    <x:col min="6" max="6" width="69" hidden="0" customWidth="1"/>
    <x:col min="7" max="7" width="71" hidden="0" customWidth="1"/>
    <x:col min="8" max="8" width="11" hidden="0" customWidth="1"/>
    <x:col min="9" max="9" width="12" hidden="0" customWidth="1"/>
    <x:col min="10" max="10" width="12" hidden="0" customWidth="1"/>
    <x:col min="11" max="11" width="59" hidden="0" customWidth="1"/>
    <x:col min="12" max="12" width="27" hidden="0" customWidth="1"/>
  </x:cols>
  <x:sheetData>
    <x:row r="1" ht="24" customHeight="1">
      <x:c r="A1" s="4" t="str">
        <x:v>FROZEN SCIENTIFIC TAXONOMY</x:v>
      </x:c>
      <x:c r="B1" s="4"/>
      <x:c r="C1" s="4"/>
      <x:c r="D1" s="4"/>
      <x:c r="E1" s="4"/>
      <x:c r="F1" s="4"/>
      <x:c r="G1" s="4"/>
      <x:c r="H1" s="4"/>
      <x:c r="I1" s="4"/>
      <x:c r="J1" s="4"/>
      <x:c r="K1" s="4"/>
      <x:c r="L1" s="4"/>
    </x:row>
    <x:row r="2" ht="24" customHeight="1">
      <x:c r="A2" s="4"/>
      <x:c r="B2" s="4"/>
      <x:c r="C2" s="4"/>
      <x:c r="D2" s="4"/>
      <x:c r="E2" s="4"/>
      <x:c r="F2" s="4"/>
      <x:c r="G2" s="4"/>
      <x:c r="H2" s="4"/>
      <x:c r="I2" s="4"/>
      <x:c r="J2" s="4"/>
      <x:c r="K2" s="4"/>
      <x:c r="L2" s="4"/>
    </x:row>
    <x:row r="3" ht="30" customHeight="1">
      <x:c r="A3" s="10" t="str">
        <x:v>6 stable families × 19 stable subclasses; 61候选恰好一个primary，跨域能力只做多标签。</x:v>
      </x:c>
      <x:c r="B3" s="10"/>
      <x:c r="C3" s="10"/>
      <x:c r="D3" s="10"/>
      <x:c r="E3" s="10"/>
      <x:c r="F3" s="10"/>
      <x:c r="G3" s="10"/>
      <x:c r="H3" s="10"/>
      <x:c r="I3" s="10"/>
      <x:c r="J3" s="10"/>
      <x:c r="K3" s="10"/>
      <x:c r="L3" s="10"/>
    </x:row>
    <x:row r="5" ht="32" customHeight="1">
      <x:c r="A5" s="17" t="str">
        <x:v>Subclass ID</x:v>
      </x:c>
      <x:c r="B5" s="17" t="str">
        <x:v>Major ID</x:v>
      </x:c>
      <x:c r="C5" s="17" t="str">
        <x:v>Major Family</x:v>
      </x:c>
      <x:c r="D5" s="17" t="str">
        <x:v>Subclass</x:v>
      </x:c>
      <x:c r="E5" s="17" t="str">
        <x:v>中文子类</x:v>
      </x:c>
      <x:c r="F5" s="17" t="str">
        <x:v>科学问题/必要机制</x:v>
      </x:c>
      <x:c r="G5" s="17" t="str">
        <x:v>真实物理完成条件</x:v>
      </x:c>
      <x:c r="H5" s="17" t="str">
        <x:v>候选数</x:v>
      </x:c>
      <x:c r="I5" s="17" t="str">
        <x:v>CoreV2数</x:v>
      </x:c>
      <x:c r="J5" s="17" t="str">
        <x:v>新设计数</x:v>
      </x:c>
      <x:c r="K5" s="17" t="str">
        <x:v>已有任务ID</x:v>
      </x:c>
      <x:c r="L5" s="17" t="str">
        <x:v>分类覆盖状态</x:v>
      </x:c>
    </x:row>
    <x:row r="6" ht="57" customHeight="1">
      <x:c r="A6" s="24" t="str">
        <x:v>AP-1</x:v>
      </x:c>
      <x:c r="B6" s="24" t="str">
        <x:v>AP</x:v>
      </x:c>
      <x:c r="C6" s="24" t="str">
        <x:v>Action Planning &amp; Physical Experimentation</x:v>
      </x:c>
      <x:c r="D6" s="24" t="str">
        <x:v>Prescribed-order Physical Execution</x:v>
      </x:c>
      <x:c r="E6" s="24" t="str">
        <x:v>给定顺序的物理执行</x:v>
      </x:c>
      <x:c r="F6" s="24" t="str">
        <x:v>已给出顺序，按次序执行真实抓放/构造，不冒充自主发现顺序</x:v>
      </x:c>
      <x:c r="G6" s="24" t="str">
        <x:v>构造中间态及最终承托关系且顺序正确</x:v>
      </x:c>
      <x:c r="H6" s="30" t="n">
        <x:v>3</x:v>
      </x:c>
      <x:c r="I6" s="30" t="n">
        <x:v>3</x:v>
      </x:c>
      <x:c r="J6" s="30" t="n">
        <x:v>0</x:v>
      </x:c>
      <x:c r="K6" s="24" t="str">
        <x:v>T01, T02, T03</x:v>
      </x:c>
      <x:c r="L6" s="24" t="str">
        <x:v>CoreV2 reuse available</x:v>
      </x:c>
    </x:row>
    <x:row r="7" ht="57" customHeight="1">
      <x:c r="A7" s="24" t="str">
        <x:v>AP-2</x:v>
      </x:c>
      <x:c r="B7" s="24" t="str">
        <x:v>AP</x:v>
      </x:c>
      <x:c r="C7" s="24" t="str">
        <x:v>Action Planning &amp; Physical Experimentation</x:v>
      </x:c>
      <x:c r="D7" s="24" t="str">
        <x:v>Stability-Constrained Construction</x:v>
      </x:c>
      <x:c r="E7" s="24" t="str">
        <x:v>稳定性约束下构造</x:v>
      </x:c>
      <x:c r="F7" s="24" t="str">
        <x:v>稳定性来自真实支撑/接触，而非表面视觉重叠</x:v>
      </x:c>
      <x:c r="G7" s="24" t="str">
        <x:v>真实释放后满足相互支持与稳定时长</x:v>
      </x:c>
      <x:c r="H7" s="30" t="n">
        <x:v>4</x:v>
      </x:c>
      <x:c r="I7" s="30" t="n">
        <x:v>4</x:v>
      </x:c>
      <x:c r="J7" s="30" t="n">
        <x:v>0</x:v>
      </x:c>
      <x:c r="K7" s="24" t="str">
        <x:v>T18, T19, T20, T21</x:v>
      </x:c>
      <x:c r="L7" s="24" t="str">
        <x:v>CoreV2 reuse available</x:v>
      </x:c>
    </x:row>
    <x:row r="8" ht="57" customHeight="1">
      <x:c r="A8" s="24" t="str">
        <x:v>AP-3</x:v>
      </x:c>
      <x:c r="B8" s="24" t="str">
        <x:v>AP</x:v>
      </x:c>
      <x:c r="C8" s="24" t="str">
        <x:v>Action Planning &amp; Physical Experimentation</x:v>
      </x:c>
      <x:c r="D8" s="24" t="str">
        <x:v>Experiment-to-Action Dynamics</x:v>
      </x:c>
      <x:c r="E8" s="24" t="str">
        <x:v>从物理实验到决策</x:v>
      </x:c>
      <x:c r="F8" s="24" t="str">
        <x:v>物理试验必须改变正确选择，排除固定赢家捷径</x:v>
      </x:c>
      <x:c r="G8" s="24" t="str">
        <x:v>完成受控试验、基于不同条件选对物体、实际交付</x:v>
      </x:c>
      <x:c r="H8" s="30" t="n">
        <x:v>3</x:v>
      </x:c>
      <x:c r="I8" s="30" t="n">
        <x:v>3</x:v>
      </x:c>
      <x:c r="J8" s="30" t="n">
        <x:v>0</x:v>
      </x:c>
      <x:c r="K8" s="24" t="str">
        <x:v>T42, T43, T44</x:v>
      </x:c>
      <x:c r="L8" s="24" t="str">
        <x:v>CoreV2 reuse available</x:v>
      </x:c>
    </x:row>
    <x:row r="9" ht="57" customHeight="1">
      <x:c r="A9" s="32" t="str">
        <x:v>AP-4</x:v>
      </x:c>
      <x:c r="B9" s="32" t="str">
        <x:v>AP</x:v>
      </x:c>
      <x:c r="C9" s="32" t="str">
        <x:v>Action Planning &amp; Physical Experimentation</x:v>
      </x:c>
      <x:c r="D9" s="32" t="str">
        <x:v>Closed-loop Recovery &amp; Adaptation</x:v>
      </x:c>
      <x:c r="E9" s="32" t="str">
        <x:v>闭环恢复与自适应</x:v>
      </x:c>
      <x:c r="F9" s="32" t="str">
        <x:v>事态偏离预期后诊断、重规划并恢复目标状态</x:v>
      </x:c>
      <x:c r="G9" s="32" t="str">
        <x:v>真实可逆扰动后，在受控预算内恢复目标终态</x:v>
      </x:c>
      <x:c r="H9" s="33" t="n">
        <x:v>0</x:v>
      </x:c>
      <x:c r="I9" s="33" t="n">
        <x:v>0</x:v>
      </x:c>
      <x:c r="J9" s="33" t="n">
        <x:v>0</x:v>
      </x:c>
      <x:c r="K9" s="32" t="str">
        <x:v>(EMPTY: design recovery)</x:v>
      </x:c>
      <x:c r="L9" s="32" t="str">
        <x:v>empty</x:v>
      </x:c>
    </x:row>
    <x:row r="10" ht="57" customHeight="1">
      <x:c r="A10" s="24" t="str">
        <x:v>NT-1</x:v>
      </x:c>
      <x:c r="B10" s="24" t="str">
        <x:v>NT</x:v>
      </x:c>
      <x:c r="C10" s="24" t="str">
        <x:v>Situated Navigation &amp; Topology</x:v>
      </x:c>
      <x:c r="D10" s="24" t="str">
        <x:v>Connectivity &amp; Topology Verification</x:v>
      </x:c>
      <x:c r="E10" s="24" t="str">
        <x:v>可达性与拓扑核验</x:v>
      </x:c>
      <x:c r="F10" s="24" t="str">
        <x:v>必须用可行机器人路径或可验证的物理证据判定连通</x:v>
      </x:c>
      <x:c r="G10" s="24" t="str">
        <x:v>真实跨区域检查或充分的本体观测及正确关系判定</x:v>
      </x:c>
      <x:c r="H10" s="30" t="n">
        <x:v>3</x:v>
      </x:c>
      <x:c r="I10" s="30" t="n">
        <x:v>3</x:v>
      </x:c>
      <x:c r="J10" s="30" t="n">
        <x:v>0</x:v>
      </x:c>
      <x:c r="K10" s="24" t="str">
        <x:v>T04, T05, T06</x:v>
      </x:c>
      <x:c r="L10" s="24" t="str">
        <x:v>CoreV2 reuse available</x:v>
      </x:c>
    </x:row>
    <x:row r="11" ht="57" customHeight="1">
      <x:c r="A11" s="24" t="str">
        <x:v>NT-2</x:v>
      </x:c>
      <x:c r="B11" s="24" t="str">
        <x:v>NT</x:v>
      </x:c>
      <x:c r="C11" s="24" t="str">
        <x:v>Situated Navigation &amp; Topology</x:v>
      </x:c>
      <x:c r="D11" s="24" t="str">
        <x:v>Ordered Multi-region Navigation</x:v>
      </x:c>
      <x:c r="E11" s="24" t="str">
        <x:v>多区域有序导航</x:v>
      </x:c>
      <x:c r="F11" s="24" t="str">
        <x:v>按目标顺序抵达，不把要求访问房间数当实际难度</x:v>
      </x:c>
      <x:c r="G11" s="24" t="str">
        <x:v>物理到达/稳定且遵守先后关系</x:v>
      </x:c>
      <x:c r="H11" s="30" t="n">
        <x:v>2</x:v>
      </x:c>
      <x:c r="I11" s="30" t="n">
        <x:v>2</x:v>
      </x:c>
      <x:c r="J11" s="30" t="n">
        <x:v>0</x:v>
      </x:c>
      <x:c r="K11" s="24" t="str">
        <x:v>T07, T08</x:v>
      </x:c>
      <x:c r="L11" s="24" t="str">
        <x:v>CoreV2 reuse available</x:v>
      </x:c>
    </x:row>
    <x:row r="12" ht="57" customHeight="1">
      <x:c r="A12" s="24" t="str">
        <x:v>NT-3</x:v>
      </x:c>
      <x:c r="B12" s="24" t="str">
        <x:v>NT</x:v>
      </x:c>
      <x:c r="C12" s="24" t="str">
        <x:v>Situated Navigation &amp; Topology</x:v>
      </x:c>
      <x:c r="D12" s="24" t="str">
        <x:v>Semantic Region Grounding</x:v>
      </x:c>
      <x:c r="E12" s="24" t="str">
        <x:v>语义区域定位</x:v>
      </x:c>
      <x:c r="F12" s="24" t="str">
        <x:v>不同房间与锚点关系需从传感器证据确定，文本不泄露答案</x:v>
      </x:c>
      <x:c r="G12" s="24" t="str">
        <x:v>正确观察锚点、到达/报告目标区域（QA作为辅助指标）</x:v>
      </x:c>
      <x:c r="H12" s="30" t="n">
        <x:v>3</x:v>
      </x:c>
      <x:c r="I12" s="30" t="n">
        <x:v>3</x:v>
      </x:c>
      <x:c r="J12" s="30" t="n">
        <x:v>0</x:v>
      </x:c>
      <x:c r="K12" s="24" t="str">
        <x:v>T09, T10, T11</x:v>
      </x:c>
      <x:c r="L12" s="24" t="str">
        <x:v>CoreV2 reuse available</x:v>
      </x:c>
    </x:row>
    <x:row r="13" ht="57" customHeight="1">
      <x:c r="A13" s="24" t="str">
        <x:v>GF-1</x:v>
      </x:c>
      <x:c r="B13" s="24" t="str">
        <x:v>GF</x:v>
      </x:c>
      <x:c r="C13" s="24" t="str">
        <x:v>Geometric Feasibility &amp; Affordance</x:v>
      </x:c>
      <x:c r="D13" s="24" t="str">
        <x:v>Containment &amp; Affordance Selection</x:v>
      </x:c>
      <x:c r="E13" s="24" t="str">
        <x:v>容纳与可操作性选择</x:v>
      </x:c>
      <x:c r="F13" s="24" t="str">
        <x:v>真实考虑夹爪、物体、开口及可行摆放姿态</x:v>
      </x:c>
      <x:c r="G13" s="24" t="str">
        <x:v>真实拾取、插入/释放、合法撤手和稳定状态</x:v>
      </x:c>
      <x:c r="H13" s="30" t="n">
        <x:v>4</x:v>
      </x:c>
      <x:c r="I13" s="30" t="n">
        <x:v>4</x:v>
      </x:c>
      <x:c r="J13" s="30" t="n">
        <x:v>0</x:v>
      </x:c>
      <x:c r="K13" s="24" t="str">
        <x:v>T22, T23, T24, T25</x:v>
      </x:c>
      <x:c r="L13" s="24" t="str">
        <x:v>CoreV2 reuse available</x:v>
      </x:c>
    </x:row>
    <x:row r="14" ht="57" customHeight="1">
      <x:c r="A14" s="24" t="str">
        <x:v>GF-2</x:v>
      </x:c>
      <x:c r="B14" s="24" t="str">
        <x:v>GF</x:v>
      </x:c>
      <x:c r="C14" s="24" t="str">
        <x:v>Geometric Feasibility &amp; Affordance</x:v>
      </x:c>
      <x:c r="D14" s="24" t="str">
        <x:v>Dimension-constrained Insertion</x:v>
      </x:c>
      <x:c r="E14" s="24" t="str">
        <x:v>尺寸约束插入</x:v>
      </x:c>
      <x:c r="F14" s="24" t="str">
        <x:v>有唯一可行尺寸/朝向选择，不靠默认姿态的 AABB 比较</x:v>
      </x:c>
      <x:c r="G14" s="24" t="str">
        <x:v>物体和夹爪完整经过限口并满足合法终态</x:v>
      </x:c>
      <x:c r="H14" s="30" t="n">
        <x:v>3</x:v>
      </x:c>
      <x:c r="I14" s="30" t="n">
        <x:v>0</x:v>
      </x:c>
      <x:c r="J14" s="30" t="n">
        <x:v>3</x:v>
      </x:c>
      <x:c r="K14" s="24" t="str">
        <x:v>D1-1, D1-2, D1-3</x:v>
      </x:c>
      <x:c r="L14" s="24" t="str">
        <x:v>new design only</x:v>
      </x:c>
    </x:row>
    <x:row r="15" ht="57" customHeight="1">
      <x:c r="A15" s="24" t="str">
        <x:v>GF-3</x:v>
      </x:c>
      <x:c r="B15" s="24" t="str">
        <x:v>GF</x:v>
      </x:c>
      <x:c r="C15" s="24" t="str">
        <x:v>Geometric Feasibility &amp; Affordance</x:v>
      </x:c>
      <x:c r="D15" s="24" t="str">
        <x:v>Metric Sorting &amp; Assignment</x:v>
      </x:c>
      <x:c r="E15" s="24" t="str">
        <x:v>度量排序与匹配</x:v>
      </x:c>
      <x:c r="F15" s="24" t="str">
        <x:v>尺寸属性影响多物体到槽位的物理分配</x:v>
      </x:c>
      <x:c r="G15" s="24" t="str">
        <x:v>所有目标按规定属性正确放入不同位置</x:v>
      </x:c>
      <x:c r="H15" s="30" t="n">
        <x:v>2</x:v>
      </x:c>
      <x:c r="I15" s="30" t="n">
        <x:v>0</x:v>
      </x:c>
      <x:c r="J15" s="30" t="n">
        <x:v>2</x:v>
      </x:c>
      <x:c r="K15" s="24" t="str">
        <x:v>D2-1, D2-2</x:v>
      </x:c>
      <x:c r="L15" s="24" t="str">
        <x:v>new design only</x:v>
      </x:c>
    </x:row>
    <x:row r="16" ht="57" customHeight="1">
      <x:c r="A16" s="24" t="str">
        <x:v>SR-1</x:v>
      </x:c>
      <x:c r="B16" s="24" t="str">
        <x:v>SR</x:v>
      </x:c>
      <x:c r="C16" s="24" t="str">
        <x:v>Spatial Reasoning-to-Action</x:v>
      </x:c>
      <x:c r="D16" s="24" t="str">
        <x:v>Geometric Arrangement &amp; Alignment</x:v>
      </x:c>
      <x:c r="E16" s="24" t="str">
        <x:v>几何布局与对齐</x:v>
      </x:c>
      <x:c r="F16" s="24" t="str">
        <x:v>三角形/共线几何关系满足物理可达性及稳定释放</x:v>
      </x:c>
      <x:c r="G16" s="24" t="str">
        <x:v>实际摆放后满足指定几何关系，排除初态已成的捷径</x:v>
      </x:c>
      <x:c r="H16" s="30" t="n">
        <x:v>5</x:v>
      </x:c>
      <x:c r="I16" s="30" t="n">
        <x:v>5</x:v>
      </x:c>
      <x:c r="J16" s="30" t="n">
        <x:v>0</x:v>
      </x:c>
      <x:c r="K16" s="24" t="str">
        <x:v>T26, T27, T28, T29, T30</x:v>
      </x:c>
      <x:c r="L16" s="24" t="str">
        <x:v>CoreV2 reuse available</x:v>
      </x:c>
    </x:row>
    <x:row r="17" ht="57" customHeight="1">
      <x:c r="A17" s="24" t="str">
        <x:v>SR-2</x:v>
      </x:c>
      <x:c r="B17" s="24" t="str">
        <x:v>SR</x:v>
      </x:c>
      <x:c r="C17" s="24" t="str">
        <x:v>Spatial Reasoning-to-Action</x:v>
      </x:c>
      <x:c r="D17" s="24" t="str">
        <x:v>Contact &amp; Separation Regulation</x:v>
      </x:c>
      <x:c r="E17" s="24" t="str">
        <x:v>接触与分离调控</x:v>
      </x:c>
      <x:c r="F17" s="24" t="str">
        <x:v>对象接触和间隙需基于原生碰撞/几何关系</x:v>
      </x:c>
      <x:c r="G17" s="24" t="str">
        <x:v>物体被调整至指定接触或分离状态且稳定</x:v>
      </x:c>
      <x:c r="H17" s="30" t="n">
        <x:v>4</x:v>
      </x:c>
      <x:c r="I17" s="30" t="n">
        <x:v>4</x:v>
      </x:c>
      <x:c r="J17" s="30" t="n">
        <x:v>0</x:v>
      </x:c>
      <x:c r="K17" s="24" t="str">
        <x:v>T31, T32, T33, T34</x:v>
      </x:c>
      <x:c r="L17" s="24" t="str">
        <x:v>CoreV2 reuse available</x:v>
      </x:c>
    </x:row>
    <x:row r="18" ht="57" customHeight="1">
      <x:c r="A18" s="24" t="str">
        <x:v>SR-3</x:v>
      </x:c>
      <x:c r="B18" s="24" t="str">
        <x:v>SR</x:v>
      </x:c>
      <x:c r="C18" s="24" t="str">
        <x:v>Spatial Reasoning-to-Action</x:v>
      </x:c>
      <x:c r="D18" s="24" t="str">
        <x:v>Reflection-grounded Reconfiguration</x:v>
      </x:c>
      <x:c r="E18" s="24" t="str">
        <x:v>镜像条件下空间关系重构</x:v>
      </x:c>
      <x:c r="F18" s="24" t="str">
        <x:v>固定参考点，不让机器人移动改变题意</x:v>
      </x:c>
      <x:c r="G18" s="24" t="str">
        <x:v>镜像判断影响真物体操作后，空间距离/次序正确反转</x:v>
      </x:c>
      <x:c r="H18" s="30" t="n">
        <x:v>3</x:v>
      </x:c>
      <x:c r="I18" s="30" t="n">
        <x:v>0</x:v>
      </x:c>
      <x:c r="J18" s="30" t="n">
        <x:v>3</x:v>
      </x:c>
      <x:c r="K18" s="24" t="str">
        <x:v>R-S1, R-S2, R-S3</x:v>
      </x:c>
      <x:c r="L18" s="24" t="str">
        <x:v>new design only</x:v>
      </x:c>
    </x:row>
    <x:row r="19" ht="57" customHeight="1">
      <x:c r="A19" s="24" t="str">
        <x:v>GG-1</x:v>
      </x:c>
      <x:c r="B19" s="24" t="str">
        <x:v>GG</x:v>
      </x:c>
      <x:c r="C19" s="24" t="str">
        <x:v>Goal Grounding &amp; Active Perception</x:v>
      </x:c>
      <x:c r="D19" s="24" t="str">
        <x:v>Active Search &amp; Physical Collection</x:v>
      </x:c>
      <x:c r="E19" s="24" t="str">
        <x:v>主动搜索与物理收集</x:v>
      </x:c>
      <x:c r="F19" s="24" t="str">
        <x:v>身份、重复计数、跨区域访问须与实体抓取关联</x:v>
      </x:c>
      <x:c r="G19" s="24" t="str">
        <x:v>正确目标全部真实收集，干扰物未进入终态</x:v>
      </x:c>
      <x:c r="H19" s="30" t="n">
        <x:v>3</x:v>
      </x:c>
      <x:c r="I19" s="30" t="n">
        <x:v>3</x:v>
      </x:c>
      <x:c r="J19" s="30" t="n">
        <x:v>0</x:v>
      </x:c>
      <x:c r="K19" s="24" t="str">
        <x:v>T35, T36, T37</x:v>
      </x:c>
      <x:c r="L19" s="24" t="str">
        <x:v>CoreV2 reuse available</x:v>
      </x:c>
    </x:row>
    <x:row r="20" ht="57" customHeight="1">
      <x:c r="A20" s="24" t="str">
        <x:v>GG-2</x:v>
      </x:c>
      <x:c r="B20" s="24" t="str">
        <x:v>GG</x:v>
      </x:c>
      <x:c r="C20" s="24" t="str">
        <x:v>Goal Grounding &amp; Active Perception</x:v>
      </x:c>
      <x:c r="D20" s="24" t="str">
        <x:v>Occlusion Removal &amp; Retrieval</x:v>
      </x:c>
      <x:c r="E20" s="24" t="str">
        <x:v>消除遮挡并取回</x:v>
      </x:c>
      <x:c r="F20" s="24" t="str">
        <x:v>遮挡必须真实限制初始信息，扫布/揭露后抓取</x:v>
      </x:c>
      <x:c r="G20" s="24" t="str">
        <x:v>经真实布料接触揭露目标并完成抓取/取回</x:v>
      </x:c>
      <x:c r="H20" s="30" t="n">
        <x:v>3</x:v>
      </x:c>
      <x:c r="I20" s="30" t="n">
        <x:v>3</x:v>
      </x:c>
      <x:c r="J20" s="30" t="n">
        <x:v>0</x:v>
      </x:c>
      <x:c r="K20" s="24" t="str">
        <x:v>T49, T50, T51</x:v>
      </x:c>
      <x:c r="L20" s="24" t="str">
        <x:v>CoreV2 reuse available</x:v>
      </x:c>
    </x:row>
    <x:row r="21" ht="57" customHeight="1">
      <x:c r="A21" s="24" t="str">
        <x:v>GG-3</x:v>
      </x:c>
      <x:c r="B21" s="24" t="str">
        <x:v>GG</x:v>
      </x:c>
      <x:c r="C21" s="24" t="str">
        <x:v>Goal Grounding &amp; Active Perception</x:v>
      </x:c>
      <x:c r="D21" s="24" t="str">
        <x:v>Mirror-grounded Target Selection</x:v>
      </x:c>
      <x:c r="E21" s="24" t="str">
        <x:v>镜像定位与目标选择</x:v>
      </x:c>
      <x:c r="F21" s="24" t="str">
        <x:v>先证明真实镜像信息，再对正确物体执行操作</x:v>
      </x:c>
      <x:c r="G21" s="24" t="str">
        <x:v>依据镜像对应/直视分支执行正确交付；正反样本配对</x:v>
      </x:c>
      <x:c r="H21" s="30" t="n">
        <x:v>5</x:v>
      </x:c>
      <x:c r="I21" s="30" t="n">
        <x:v>0</x:v>
      </x:c>
      <x:c r="J21" s="30" t="n">
        <x:v>5</x:v>
      </x:c>
      <x:c r="K21" s="24" t="str">
        <x:v>R-C1, R-C2, R-C3, R-A1, R-A2</x:v>
      </x:c>
      <x:c r="L21" s="24" t="str">
        <x:v>new design only</x:v>
      </x:c>
    </x:row>
    <x:row r="22" ht="57" customHeight="1">
      <x:c r="A22" s="24" t="str">
        <x:v>GG-4</x:v>
      </x:c>
      <x:c r="B22" s="24" t="str">
        <x:v>GG</x:v>
      </x:c>
      <x:c r="C22" s="24" t="str">
        <x:v>Goal Grounding &amp; Active Perception</x:v>
      </x:c>
      <x:c r="D22" s="24" t="str">
        <x:v>Appearance-conditioned Object Handling</x:v>
      </x:c>
      <x:c r="E22" s="24" t="str">
        <x:v>视觉属性条件下物体处理</x:v>
      </x:c>
      <x:c r="F22" s="24" t="str">
        <x:v>透明容器任务必须依赖对物体/内容状态的实际识别</x:v>
      </x:c>
      <x:c r="G22" s="24" t="str">
        <x:v>观察真实内容状态后执行插入或合法不操作，保证开口可达</x:v>
      </x:c>
      <x:c r="H22" s="30" t="n">
        <x:v>3</x:v>
      </x:c>
      <x:c r="I22" s="30" t="n">
        <x:v>3</x:v>
      </x:c>
      <x:c r="J22" s="30" t="n">
        <x:v>0</x:v>
      </x:c>
      <x:c r="K22" s="24" t="str">
        <x:v>T15, T16, T17</x:v>
      </x:c>
      <x:c r="L22" s="24" t="str">
        <x:v>CoreV2 reuse available</x:v>
      </x:c>
    </x:row>
    <x:row r="23" ht="57" customHeight="1">
      <x:c r="A23" s="24" t="str">
        <x:v>TM-1</x:v>
      </x:c>
      <x:c r="B23" s="24" t="str">
        <x:v>TM</x:v>
      </x:c>
      <x:c r="C23" s="24" t="str">
        <x:v>Temporal Memory &amp; World-State Revision</x:v>
      </x:c>
      <x:c r="D23" s="24" t="str">
        <x:v>Episodic Observation-to-Action</x:v>
      </x:c>
      <x:c r="E23" s="24" t="str">
        <x:v>基于历史观察的行动</x:v>
      </x:c>
      <x:c r="F23" s="24" t="str">
        <x:v>仅从先前真实Agent观察中检索目标/轨迹信息</x:v>
      </x:c>
      <x:c r="G23" s="24" t="str">
        <x:v>根据自身真实观察历史执行正确目标操作</x:v>
      </x:c>
      <x:c r="H23" s="30" t="n">
        <x:v>2</x:v>
      </x:c>
      <x:c r="I23" s="30" t="n">
        <x:v>2</x:v>
      </x:c>
      <x:c r="J23" s="30" t="n">
        <x:v>0</x:v>
      </x:c>
      <x:c r="K23" s="24" t="str">
        <x:v>T38, T39</x:v>
      </x:c>
      <x:c r="L23" s="24" t="str">
        <x:v>CoreV2 reuse available</x:v>
      </x:c>
    </x:row>
    <x:row r="24" ht="57" customHeight="1">
      <x:c r="A24" s="24" t="str">
        <x:v>TM-2</x:v>
      </x:c>
      <x:c r="B24" s="24" t="str">
        <x:v>TM</x:v>
      </x:c>
      <x:c r="C24" s="24" t="str">
        <x:v>Temporal Memory &amp; World-State Revision</x:v>
      </x:c>
      <x:c r="D24" s="24" t="str">
        <x:v>Unobserved Change &amp; Contingent Action</x:v>
      </x:c>
      <x:c r="E24" s="24" t="str">
        <x:v>未观测变化与条件行动</x:v>
      </x:c>
      <x:c r="F24" s="24" t="str">
        <x:v>当前相似状态下不同先前历史需要不同动作</x:v>
      </x:c>
      <x:c r="G24" s="24" t="str">
        <x:v>两阶段比较后按增/删/移/换/不变执行正确操作</x:v>
      </x:c>
      <x:c r="H24" s="30" t="n">
        <x:v>6</x:v>
      </x:c>
      <x:c r="I24" s="30" t="n">
        <x:v>6</x:v>
      </x:c>
      <x:c r="J24" s="30" t="n">
        <x:v>0</x:v>
      </x:c>
      <x:c r="K24" s="24" t="str">
        <x:v>T40, T41, T45, T46, T47, T48</x:v>
      </x:c>
      <x:c r="L24" s="24" t="str">
        <x:v>CoreV2 reuse available</x:v>
      </x:c>
    </x:row>
  </x:sheetData>
  <x:mergeCells>
    <x:mergeCell ref="A1:L2"/>
    <x:mergeCell ref="A3:L3"/>
  </x:mergeCells>
  <x:pageMargins left="0.7" right="0.7" top="0.75" bottom="0.75" header="0.3" footer="0.3"/>
  <x:tableParts count="1">
    <x:tablePart xmlns:r="http://schemas.openxmlformats.org/officeDocument/2006/relationships" r:id="Rb7142ecded2549d8"/>
  </x:tableParts>
</x:worksheet>
</file>

<file path=xl/worksheets/sheet3.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0" hidden="0" customWidth="1"/>
    <x:col min="2" max="2" width="35" hidden="0" customWidth="1"/>
    <x:col min="3" max="3" width="16" hidden="0" customWidth="1"/>
    <x:col min="4" max="4" width="41" hidden="0" customWidth="1"/>
    <x:col min="5" max="5" width="14" hidden="0" customWidth="1"/>
    <x:col min="6" max="6" width="58" hidden="0" customWidth="1"/>
    <x:col min="7" max="7" width="35" hidden="0" customWidth="1"/>
    <x:col min="8" max="8" width="35" hidden="0" customWidth="1"/>
    <x:col min="9" max="9" width="67" hidden="0" customWidth="1"/>
    <x:col min="10" max="10" width="25" hidden="0" customWidth="1"/>
    <x:col min="11" max="11" width="86" hidden="0" customWidth="1"/>
    <x:col min="12" max="12" width="80" hidden="0" customWidth="1"/>
  </x:cols>
  <x:sheetData>
    <x:row r="1" ht="24" customHeight="1">
      <x:c r="A1" s="4" t="str">
        <x:v>COREV2 RETAINED TASKS | REUSE FIRST</x:v>
      </x:c>
      <x:c r="B1" s="4"/>
      <x:c r="C1" s="4"/>
      <x:c r="D1" s="4"/>
      <x:c r="E1" s="4"/>
      <x:c r="F1" s="4"/>
      <x:c r="G1" s="4"/>
      <x:c r="H1" s="4"/>
      <x:c r="I1" s="4"/>
      <x:c r="J1" s="4"/>
      <x:c r="K1" s="4"/>
      <x:c r="L1" s="4"/>
    </x:row>
    <x:row r="2" ht="24" customHeight="1">
      <x:c r="A2" s="4"/>
      <x:c r="B2" s="4"/>
      <x:c r="C2" s="4"/>
      <x:c r="D2" s="4"/>
      <x:c r="E2" s="4"/>
      <x:c r="F2" s="4"/>
      <x:c r="G2" s="4"/>
      <x:c r="H2" s="4"/>
      <x:c r="I2" s="4"/>
      <x:c r="J2" s="4"/>
      <x:c r="K2" s="4"/>
      <x:c r="L2" s="4"/>
    </x:row>
    <x:row r="3" ht="30" customHeight="1">
      <x:c r="A3" s="10" t="str">
        <x:v>48保留任务：18直接复用合同、20局部修复、10任务机制级重订；均未被本轮原生执行认证。</x:v>
      </x:c>
      <x:c r="B3" s="10"/>
      <x:c r="C3" s="10"/>
      <x:c r="D3" s="10"/>
      <x:c r="E3" s="10"/>
      <x:c r="F3" s="10"/>
      <x:c r="G3" s="10"/>
      <x:c r="H3" s="10"/>
      <x:c r="I3" s="10"/>
      <x:c r="J3" s="10"/>
      <x:c r="K3" s="10"/>
      <x:c r="L3" s="10"/>
    </x:row>
    <x:row r="5" ht="32" customHeight="1">
      <x:c r="A5" s="17" t="str">
        <x:v>Task</x:v>
      </x:c>
      <x:c r="B5" s="17" t="str">
        <x:v>CoreV2 ID</x:v>
      </x:c>
      <x:c r="C5" s="17" t="str">
        <x:v>New subclass</x:v>
      </x:c>
      <x:c r="D5" s="17" t="str">
        <x:v>Subcategory</x:v>
      </x:c>
      <x:c r="E5" s="17" t="str">
        <x:v>Reuse level</x:v>
      </x:c>
      <x:c r="F5" s="17" t="str">
        <x:v>Reuse meaning</x:v>
      </x:c>
      <x:c r="G5" s="17" t="str">
        <x:v>Scene</x:v>
      </x:c>
      <x:c r="H5" s="17" t="str">
        <x:v>Room</x:v>
      </x:c>
      <x:c r="I5" s="17" t="str">
        <x:v>Entity inventory evidence</x:v>
      </x:c>
      <x:c r="J5" s="17" t="str">
        <x:v>Prior recommendation</x:v>
      </x:c>
      <x:c r="K5" s="17" t="str">
        <x:v>Next repair/action</x:v>
      </x:c>
      <x:c r="L5" s="17" t="str">
        <x:v>Pinned source</x:v>
      </x:c>
    </x:row>
    <x:row r="6" ht="51" customHeight="1">
      <x:c r="A6" s="24" t="str">
        <x:v>T01</x:v>
      </x:c>
      <x:c r="B6" s="24" t="str">
        <x:v>category_17d798839775b73b4f9f8d26</x:v>
      </x:c>
      <x:c r="C6" s="24" t="str">
        <x:v>AP-1</x:v>
      </x:c>
      <x:c r="D6" s="24" t="str">
        <x:v>Prescribed-order Physical Execution</x:v>
      </x:c>
      <x:c r="E6" s="26" t="str">
        <x:v>R1</x:v>
      </x:c>
      <x:c r="F6" s="24" t="str">
        <x:v>复用Task/Evaluator，针对场景、可达性、参数或观测做局部修复</x:v>
      </x:c>
      <x:c r="G6" s="24" t="str">
        <x:v>Merom_0_garden</x:v>
      </x:c>
      <x:c r="H6" s="24" t="str">
        <x:v>utility_room_0</x:v>
      </x:c>
      <x:c r="I6" s="24" t="str">
        <x:v>5 个去重相关物体：wicker_basket、pizza_box、pizza_box、lemon、lemon；中间物1+底层候选2+顶层候选2，终态3物体</x:v>
      </x:c>
      <x:c r="J6" s="24" t="str">
        <x:v>V1-对照</x:v>
      </x:c>
      <x:c r="K6" s="24" t="str">
        <x:v>保留给定次序执行对照；篮内落入与顶部承托的成功关系必须明确，证明稳定退手。</x:v>
      </x:c>
      <x:c r="L6" s="24" t="str">
        <x:v>https://github.com/XuanCheg/Show-Harness-Explore/blob/33bada4bb278471b7a925cd8ddfa3d46a19f52fb/explore_to_achieve/tasks/Action%20Sequencing/Action%20Order%20Inference/Merom_0_garden/utility_room_0/corev2__category_17d798839775b73b4f9f8d26.yaml</x:v>
      </x:c>
    </x:row>
    <x:row r="7" ht="51" customHeight="1">
      <x:c r="A7" s="24" t="str">
        <x:v>T02</x:v>
      </x:c>
      <x:c r="B7" s="24" t="str">
        <x:v>category_11e210b18d60f8824aa6f88e</x:v>
      </x:c>
      <x:c r="C7" s="24" t="str">
        <x:v>AP-1</x:v>
      </x:c>
      <x:c r="D7" s="24" t="str">
        <x:v>Prescribed-order Physical Execution</x:v>
      </x:c>
      <x:c r="E7" s="26" t="str">
        <x:v>R1</x:v>
      </x:c>
      <x:c r="F7" s="24" t="str">
        <x:v>复用Task/Evaluator，针对场景、可达性、参数或观测做局部修复</x:v>
      </x:c>
      <x:c r="G7" s="24" t="str">
        <x:v>house_single_floor</x:v>
      </x:c>
      <x:c r="H7" s="24" t="str">
        <x:v>dining_room_0</x:v>
      </x:c>
      <x:c r="I7" s="24" t="str">
        <x:v>5 个去重相关物体：gift_box、cutting_board、cutting_board、softball、softball；中间物1+底层候选2+顶层候选2，终态3物体</x:v>
      </x:c>
      <x:c r="J7" s="24" t="str">
        <x:v>V2-储备</x:v>
      </x:c>
      <x:c r="K7" s="24" t="str">
        <x:v>软球滚动+五候选分散使物理失稳主导；先完成参照合法堆叠轨迹。</x:v>
      </x:c>
      <x:c r="L7" s="24" t="str">
        <x:v>https://github.com/XuanCheg/Show-Harness-Explore/blob/33bada4bb278471b7a925cd8ddfa3d46a19f52fb/explore_to_achieve/tasks/Action%20Sequencing/Action%20Order%20Inference/house_single_floor/dining_room_0/corev2__category_11e210b18d60f8824aa6f88e.yaml</x:v>
      </x:c>
    </x:row>
    <x:row r="8" ht="51" customHeight="1">
      <x:c r="A8" s="24" t="str">
        <x:v>T03</x:v>
      </x:c>
      <x:c r="B8" s="24" t="str">
        <x:v>category_47e03b7b97473aacca3cfd04</x:v>
      </x:c>
      <x:c r="C8" s="24" t="str">
        <x:v>AP-1</x:v>
      </x:c>
      <x:c r="D8" s="24" t="str">
        <x:v>Prescribed-order Physical Execution</x:v>
      </x:c>
      <x:c r="E8" s="26" t="str">
        <x:v>R1</x:v>
      </x:c>
      <x:c r="F8" s="24" t="str">
        <x:v>复用Task/Evaluator，针对场景、可达性、参数或观测做局部修复</x:v>
      </x:c>
      <x:c r="G8" s="24" t="str">
        <x:v>office_cubicles_left</x:v>
      </x:c>
      <x:c r="H8" s="24" t="str">
        <x:v>lobby_0</x:v>
      </x:c>
      <x:c r="I8" s="24" t="str">
        <x:v>5 个去重相关物体：casserole、pizza_box、pizza_box、pear、pear；中间物1+底层候选2+顶层候选2，终态3物体</x:v>
      </x:c>
      <x:c r="J8" s="24" t="str">
        <x:v>V2-储备</x:v>
      </x:c>
      <x:c r="K8" s="24" t="str">
        <x:v>梨落入 casserole 腔体与合法支撑链语义冲突，先重写支持关系。</x:v>
      </x:c>
      <x:c r="L8" s="24" t="str">
        <x:v>https://github.com/XuanCheg/Show-Harness-Explore/blob/33bada4bb278471b7a925cd8ddfa3d46a19f52fb/explore_to_achieve/tasks/Action%20Sequencing/Action%20Order%20Inference/office_cubicles_left/lobby_0/corev2__category_47e03b7b97473aacca3cfd04.yaml</x:v>
      </x:c>
    </x:row>
    <x:row r="9" ht="51" customHeight="1">
      <x:c r="A9" s="24" t="str">
        <x:v>T04</x:v>
      </x:c>
      <x:c r="B9" s="24" t="str">
        <x:v>category_a8f49ca31bf5f14acf8ab31a</x:v>
      </x:c>
      <x:c r="C9" s="24" t="str">
        <x:v>NT-1</x:v>
      </x:c>
      <x:c r="D9" s="24" t="str">
        <x:v>Connectivity &amp; Topology Verification</x:v>
      </x:c>
      <x:c r="E9" s="26" t="str">
        <x:v>R1</x:v>
      </x:c>
      <x:c r="F9" s="24" t="str">
        <x:v>复用Task/Evaluator，针对场景、可达性、参数或观测做局部修复</x:v>
      </x:c>
      <x:c r="G9" s="24" t="str">
        <x:v>Rs_int</x:v>
      </x:c>
      <x:c r="H9" s="24" t="str">
        <x:v>full_scene</x:v>
      </x:c>
      <x:c r="I9" s="24" t="str">
        <x:v>2 个相关区域；1 个邻接问题；物体总数待测</x:v>
      </x:c>
      <x:c r="J9" s="24" t="str">
        <x:v>V1-修复后</x:v>
      </x:c>
      <x:c r="K9" s="24" t="str">
        <x:v>实测R1穿门/开门/撤出；只核对空间邻接不能代替实际访问。</x:v>
      </x:c>
      <x:c r="L9" s="24" t="str">
        <x:v>https://github.com/XuanCheg/Show-Harness-Explore/blob/33bada4bb278471b7a925cd8ddfa3d46a19f52fb/explore_to_achieve/tasks/Cognitive%20Mapping/Connectivity/Rs_int/full_scene/corev2__category_a8f49ca31bf5f14acf8ab31a.yaml</x:v>
      </x:c>
    </x:row>
    <x:row r="10" ht="51" customHeight="1">
      <x:c r="A10" s="24" t="str">
        <x:v>T05</x:v>
      </x:c>
      <x:c r="B10" s="24" t="str">
        <x:v>category_cf3697aa6546a5518f3e5735</x:v>
      </x:c>
      <x:c r="C10" s="24" t="str">
        <x:v>NT-1</x:v>
      </x:c>
      <x:c r="D10" s="24" t="str">
        <x:v>Connectivity &amp; Topology Verification</x:v>
      </x:c>
      <x:c r="E10" s="26" t="str">
        <x:v>R1</x:v>
      </x:c>
      <x:c r="F10" s="24" t="str">
        <x:v>复用Task/Evaluator，针对场景、可达性、参数或观测做局部修复</x:v>
      </x:c>
      <x:c r="G10" s="24" t="str">
        <x:v>house_double_floor_upper</x:v>
      </x:c>
      <x:c r="H10" s="24" t="str">
        <x:v>full_scene</x:v>
      </x:c>
      <x:c r="I10" s="24" t="str">
        <x:v>5 个相关区域；5 个邻接问题；物体总数待测</x:v>
      </x:c>
      <x:c r="J10" s="24" t="str">
        <x:v>V1-修复后</x:v>
      </x:c>
      <x:c r="K10" s="24" t="str">
        <x:v>审核初始8路RGB与overview是否泄露完整平面拓扑；统一五问证据。</x:v>
      </x:c>
      <x:c r="L10" s="24" t="str">
        <x:v>https://github.com/XuanCheg/Show-Harness-Explore/blob/33bada4bb278471b7a925cd8ddfa3d46a19f52fb/explore_to_achieve/tasks/Cognitive%20Mapping/Connectivity/house_double_floor_upper/full_scene/corev2__category_cf3697aa6546a5518f3e5735.yaml</x:v>
      </x:c>
    </x:row>
    <x:row r="11" ht="51" customHeight="1">
      <x:c r="A11" s="24" t="str">
        <x:v>T06</x:v>
      </x:c>
      <x:c r="B11" s="24" t="str">
        <x:v>category_5296997426a116135b7c80aa</x:v>
      </x:c>
      <x:c r="C11" s="24" t="str">
        <x:v>NT-1</x:v>
      </x:c>
      <x:c r="D11" s="24" t="str">
        <x:v>Connectivity &amp; Topology Verification</x:v>
      </x:c>
      <x:c r="E11" s="26" t="str">
        <x:v>R1</x:v>
      </x:c>
      <x:c r="F11" s="24" t="str">
        <x:v>复用Task/Evaluator，针对场景、可达性、参数或观测做局部修复</x:v>
      </x:c>
      <x:c r="G11" s="24" t="str">
        <x:v>school_geography</x:v>
      </x:c>
      <x:c r="H11" s="24" t="str">
        <x:v>full_scene</x:v>
      </x:c>
      <x:c r="I11" s="24" t="str">
        <x:v>4 个相关区域；5 个邻接问题；物体总数待测</x:v>
      </x:c>
      <x:c r="J11" s="24" t="str">
        <x:v>V2-储备</x:v>
      </x:c>
      <x:c r="K11" s="24" t="str">
        <x:v>465.59 m²是标签面积；需先有可通行路径和分层预算，再归大场景压力集。</x:v>
      </x:c>
      <x:c r="L11" s="24" t="str">
        <x:v>https://github.com/XuanCheg/Show-Harness-Explore/blob/33bada4bb278471b7a925cd8ddfa3d46a19f52fb/explore_to_achieve/tasks/Cognitive%20Mapping/Connectivity/school_geography/full_scene/corev2__category_5296997426a116135b7c80aa.yaml</x:v>
      </x:c>
    </x:row>
    <x:row r="12" ht="51" customHeight="1">
      <x:c r="A12" s="24" t="str">
        <x:v>T07</x:v>
      </x:c>
      <x:c r="B12" s="24" t="str">
        <x:v>category_bb85ad2d7d19a7fdde23a2a0</x:v>
      </x:c>
      <x:c r="C12" s="24" t="str">
        <x:v>NT-2</x:v>
      </x:c>
      <x:c r="D12" s="24" t="str">
        <x:v>Ordered Multi-region Navigation</x:v>
      </x:c>
      <x:c r="E12" s="26" t="str">
        <x:v>R1</x:v>
      </x:c>
      <x:c r="F12" s="24" t="str">
        <x:v>复用Task/Evaluator，针对场景、可达性、参数或观测做局部修复</x:v>
      </x:c>
      <x:c r="G12" s="24" t="str">
        <x:v>Beechwood_0_int</x:v>
      </x:c>
      <x:c r="H12" s="24" t="str">
        <x:v>full_scene</x:v>
      </x:c>
      <x:c r="I12" s="24" t="str">
        <x:v>6 个给定房间目标；物体总数待测</x:v>
      </x:c>
      <x:c r="J12" s="24" t="str">
        <x:v>V1-修复后</x:v>
      </x:c>
      <x:c r="K12" s="24" t="str">
        <x:v>6房但短路径；优先验证1.831 m² storage_room_1能进出，不声称顺序推断。</x:v>
      </x:c>
      <x:c r="L12" s="24" t="str">
        <x:v>https://github.com/XuanCheg/Show-Harness-Explore/blob/33bada4bb278471b7a925cd8ddfa3d46a19f52fb/explore_to_achieve/tasks/Cognitive%20Mapping/Long-Term%20Navigation/Beechwood_0_int/full_scene/corev2__category_bb85ad2d7d19a7fdde23a2a0.yaml</x:v>
      </x:c>
    </x:row>
    <x:row r="13" ht="51" customHeight="1">
      <x:c r="A13" s="24" t="str">
        <x:v>T08</x:v>
      </x:c>
      <x:c r="B13" s="24" t="str">
        <x:v>category_062d036de1fac0297a84732f</x:v>
      </x:c>
      <x:c r="C13" s="24" t="str">
        <x:v>NT-2</x:v>
      </x:c>
      <x:c r="D13" s="24" t="str">
        <x:v>Ordered Multi-region Navigation</x:v>
      </x:c>
      <x:c r="E13" s="26" t="str">
        <x:v>R1</x:v>
      </x:c>
      <x:c r="F13" s="24" t="str">
        <x:v>复用Task/Evaluator，针对场景、可达性、参数或观测做局部修复</x:v>
      </x:c>
      <x:c r="G13" s="24" t="str">
        <x:v>office_cubicles_left</x:v>
      </x:c>
      <x:c r="H13" s="24" t="str">
        <x:v>full_scene</x:v>
      </x:c>
      <x:c r="I13" s="24" t="str">
        <x:v>4 个给定房间目标；物体总数待测</x:v>
      </x:c>
      <x:c r="J13" s="24" t="str">
        <x:v>V2-储备</x:v>
      </x:c>
      <x:c r="K13" s="24" t="str">
        <x:v>43.831m源路长和782.35m²标签面积，放V2大规模导航；不能使用未校准415步同主赛道比较。</x:v>
      </x:c>
      <x:c r="L13" s="24" t="str">
        <x:v>https://github.com/XuanCheg/Show-Harness-Explore/blob/33bada4bb278471b7a925cd8ddfa3d46a19f52fb/explore_to_achieve/tasks/Cognitive%20Mapping/Long-Term%20Navigation/office_cubicles_left/full_scene/corev2__category_062d036de1fac0297a84732f.yaml</x:v>
      </x:c>
    </x:row>
    <x:row r="14" ht="51" customHeight="1">
      <x:c r="A14" s="24" t="str">
        <x:v>T09</x:v>
      </x:c>
      <x:c r="B14" s="24" t="str">
        <x:v>category_6f23dae3a5a0c6b26db61a50</x:v>
      </x:c>
      <x:c r="C14" s="24" t="str">
        <x:v>NT-3</x:v>
      </x:c>
      <x:c r="D14" s="24" t="str">
        <x:v>Semantic Region Grounding</x:v>
      </x:c>
      <x:c r="E14" s="32" t="str">
        <x:v>R2</x:v>
      </x:c>
      <x:c r="F14" s="24" t="str">
        <x:v>复用Converter/Source/Scene，但任务目标、对照条件或评分需实质修订</x:v>
      </x:c>
      <x:c r="G14" s="24" t="str">
        <x:v>restaurant_cafeteria</x:v>
      </x:c>
      <x:c r="H14" s="24" t="str">
        <x:v>full_scene</x:v>
      </x:c>
      <x:c r="I14" s="24" t="str">
        <x:v>1 个固定查询锚点；原生背景对象总数待测</x:v>
      </x:c>
      <x:c r="J14" s="24" t="str">
        <x:v>V1-对照</x:v>
      </x:c>
      <x:c r="K14" s="24" t="str">
        <x:v>去除文本泄露并把实际区域到达列为主要物理指标；保留原QA辅助评分。锚点定位与物理到访可计分；若仅输出答案则列为Spatial QA对照而非世界状态改造任务。</x:v>
      </x:c>
      <x:c r="L14" s="24" t="str">
        <x:v>https://github.com/XuanCheg/Show-Harness-Explore/blob/33bada4bb278471b7a925cd8ddfa3d46a19f52fb/explore_to_achieve/tasks/Cognitive%20Mapping/Regional%20Boundary/restaurant_cafeteria/full_scene/corev2__category_6f23dae3a5a0c6b26db61a50.yaml</x:v>
      </x:c>
    </x:row>
    <x:row r="15" ht="51" customHeight="1">
      <x:c r="A15" s="24" t="str">
        <x:v>T10</x:v>
      </x:c>
      <x:c r="B15" s="24" t="str">
        <x:v>category_2f46a8c2898ca9d05d6ac045</x:v>
      </x:c>
      <x:c r="C15" s="24" t="str">
        <x:v>NT-3</x:v>
      </x:c>
      <x:c r="D15" s="24" t="str">
        <x:v>Semantic Region Grounding</x:v>
      </x:c>
      <x:c r="E15" s="32" t="str">
        <x:v>R2</x:v>
      </x:c>
      <x:c r="F15" s="24" t="str">
        <x:v>复用Converter/Source/Scene，但任务目标、对照条件或评分需实质修订</x:v>
      </x:c>
      <x:c r="G15" s="24" t="str">
        <x:v>restaurant_cafeteria</x:v>
      </x:c>
      <x:c r="H15" s="24" t="str">
        <x:v>full_scene</x:v>
      </x:c>
      <x:c r="I15" s="24" t="str">
        <x:v>2 个固定查询锚点；原生背景对象总数待测</x:v>
      </x:c>
      <x:c r="J15" s="24" t="str">
        <x:v>合并/替换</x:v>
      </x:c>
      <x:c r="K15" s="24" t="str">
        <x:v>去除文本泄露并把实际区域到达列为主要物理指标；保留原QA辅助评分。与T09同建筑/同full_scene，可做同一诊断组2种锚点，不计算新增空间家族。</x:v>
      </x:c>
      <x:c r="L15" s="24" t="str">
        <x:v>https://github.com/XuanCheg/Show-Harness-Explore/blob/33bada4bb278471b7a925cd8ddfa3d46a19f52fb/explore_to_achieve/tasks/Cognitive%20Mapping/Regional%20Boundary/restaurant_cafeteria/full_scene/corev2__category_2f46a8c2898ca9d05d6ac045.yaml</x:v>
      </x:c>
    </x:row>
    <x:row r="16" ht="51" customHeight="1">
      <x:c r="A16" s="24" t="str">
        <x:v>T11</x:v>
      </x:c>
      <x:c r="B16" s="24" t="str">
        <x:v>category_1a55282aea78514f749fe4e0</x:v>
      </x:c>
      <x:c r="C16" s="24" t="str">
        <x:v>NT-3</x:v>
      </x:c>
      <x:c r="D16" s="24" t="str">
        <x:v>Semantic Region Grounding</x:v>
      </x:c>
      <x:c r="E16" s="32" t="str">
        <x:v>R2</x:v>
      </x:c>
      <x:c r="F16" s="24" t="str">
        <x:v>复用Converter/Source/Scene，但任务目标、对照条件或评分需实质修订</x:v>
      </x:c>
      <x:c r="G16" s="24" t="str">
        <x:v>school_gym</x:v>
      </x:c>
      <x:c r="H16" s="24" t="str">
        <x:v>full_scene</x:v>
      </x:c>
      <x:c r="I16" s="24" t="str">
        <x:v>1 个固定查询锚点；原生背景对象总数待测</x:v>
      </x:c>
      <x:c r="J16" s="24" t="str">
        <x:v>V1-修复后</x:v>
      </x:c>
      <x:c r="K16" s="24" t="str">
        <x:v>去除文本泄露并把实际区域到达列为主要物理指标；保留原QA辅助评分。公开选项直接包含paper_towel_dispenser答案，必须删除词面捷径再跑。</x:v>
      </x:c>
      <x:c r="L16" s="24" t="str">
        <x:v>https://github.com/XuanCheg/Show-Harness-Explore/blob/33bada4bb278471b7a925cd8ddfa3d46a19f52fb/explore_to_achieve/tasks/Cognitive%20Mapping/Regional%20Boundary/school_gym/full_scene/corev2__category_1a55282aea78514f749fe4e0.yaml</x:v>
      </x:c>
    </x:row>
    <x:row r="17" ht="51" customHeight="1">
      <x:c r="A17" s="24" t="str">
        <x:v>T15</x:v>
      </x:c>
      <x:c r="B17" s="24" t="str">
        <x:v>category_a819197786bd511068cee095</x:v>
      </x:c>
      <x:c r="C17" s="24" t="str">
        <x:v>GG-4</x:v>
      </x:c>
      <x:c r="D17" s="24" t="str">
        <x:v>Appearance-conditioned Object Handling</x:v>
      </x:c>
      <x:c r="E17" s="32" t="str">
        <x:v>R2</x:v>
      </x:c>
      <x:c r="F17" s="24" t="str">
        <x:v>复用Converter/Source/Scene，但任务目标、对照条件或评分需实质修订</x:v>
      </x:c>
      <x:c r="G17" s="24" t="str">
        <x:v>Beechwood_0_garden</x:v>
      </x:c>
      <x:c r="H17" s="24" t="str">
        <x:v>dining_room_0</x:v>
      </x:c>
      <x:c r="I17" s="24" t="str">
        <x:v>2 个去重相关物体：cleansing_bottle、cherry_tomato</x:v>
      </x:c>
      <x:c r="J17" s="24" t="str">
        <x:v>合并/替换</x:v>
      </x:c>
      <x:c r="K17" s="24" t="str">
        <x:v>先筛选真实可通过的容器开口与夹爪退手路径，再实施透明/不透明或内外条件对照。番茄→cleansing_bottle的瓶口可通过性未证；换为可验证宽口透明容器并设置透明/不透明对照。</x:v>
      </x:c>
      <x:c r="L17" s="24" t="str">
        <x:v>https://github.com/XuanCheg/Show-Harness-Explore/blob/33bada4bb278471b7a925cd8ddfa3d46a19f52fb/explore_to_achieve/tasks/Perceptual%20Grounding/Material%20Transparency/Beechwood_0_garden/dining_room_0/corev2__category_a819197786bd511068cee095.yaml</x:v>
      </x:c>
    </x:row>
    <x:row r="18" ht="51" customHeight="1">
      <x:c r="A18" s="24" t="str">
        <x:v>T16</x:v>
      </x:c>
      <x:c r="B18" s="24" t="str">
        <x:v>category_54f951b6a29855a51844da54</x:v>
      </x:c>
      <x:c r="C18" s="24" t="str">
        <x:v>GG-4</x:v>
      </x:c>
      <x:c r="D18" s="24" t="str">
        <x:v>Appearance-conditioned Object Handling</x:v>
      </x:c>
      <x:c r="E18" s="32" t="str">
        <x:v>R2</x:v>
      </x:c>
      <x:c r="F18" s="24" t="str">
        <x:v>复用Converter/Source/Scene，但任务目标、对照条件或评分需实质修订</x:v>
      </x:c>
      <x:c r="G18" s="24" t="str">
        <x:v>restaurant_hotel</x:v>
      </x:c>
      <x:c r="H18" s="24" t="str">
        <x:v>lobby_0</x:v>
      </x:c>
      <x:c r="I18" s="24" t="str">
        <x:v>2 个去重相关物体：round_bottom_flask、dice</x:v>
      </x:c>
      <x:c r="J18" s="24" t="str">
        <x:v>V2-储备</x:v>
      </x:c>
      <x:c r="K18" s="24" t="str">
        <x:v>先筛选真实可通过的容器开口与夹爪退手路径，再实施透明/不透明或内外条件对照。烧瓶瓶颈与骰子+夹指净空间未知；若初态已Inside只做验证对照。</x:v>
      </x:c>
      <x:c r="L18" s="24" t="str">
        <x:v>https://github.com/XuanCheg/Show-Harness-Explore/blob/33bada4bb278471b7a925cd8ddfa3d46a19f52fb/explore_to_achieve/tasks/Perceptual%20Grounding/Material%20Transparency/restaurant_hotel/lobby_0/corev2__category_54f951b6a29855a51844da54.yaml</x:v>
      </x:c>
    </x:row>
    <x:row r="19" ht="51" customHeight="1">
      <x:c r="A19" s="24" t="str">
        <x:v>T17</x:v>
      </x:c>
      <x:c r="B19" s="24" t="str">
        <x:v>category_720f0847910173edaef41d45</x:v>
      </x:c>
      <x:c r="C19" s="24" t="str">
        <x:v>GG-4</x:v>
      </x:c>
      <x:c r="D19" s="24" t="str">
        <x:v>Appearance-conditioned Object Handling</x:v>
      </x:c>
      <x:c r="E19" s="32" t="str">
        <x:v>R2</x:v>
      </x:c>
      <x:c r="F19" s="24" t="str">
        <x:v>复用Converter/Source/Scene，但任务目标、对照条件或评分需实质修订</x:v>
      </x:c>
      <x:c r="G19" s="24" t="str">
        <x:v>school_gym</x:v>
      </x:c>
      <x:c r="H19" s="24" t="str">
        <x:v>locker_room_1</x:v>
      </x:c>
      <x:c r="I19" s="24" t="str">
        <x:v>2 个去重相关物体：solvent_bottle、dice</x:v>
      </x:c>
      <x:c r="J19" s="24" t="str">
        <x:v>V2-储备</x:v>
      </x:c>
      <x:c r="K19" s="24" t="str">
        <x:v>先筛选真实可通过的容器开口与夹爪退手路径，再实施透明/不透明或内外条件对照。solvent_bottle 瓶颈可通过性与更衣间退手未证，等待物理轨迹。</x:v>
      </x:c>
      <x:c r="L19" s="24" t="str">
        <x:v>https://github.com/XuanCheg/Show-Harness-Explore/blob/33bada4bb278471b7a925cd8ddfa3d46a19f52fb/explore_to_achieve/tasks/Perceptual%20Grounding/Material%20Transparency/school_gym/locker_room_1/corev2__category_720f0847910173edaef41d45.yaml</x:v>
      </x:c>
    </x:row>
    <x:row r="20" ht="51" customHeight="1">
      <x:c r="A20" s="24" t="str">
        <x:v>T18</x:v>
      </x:c>
      <x:c r="B20" s="24" t="str">
        <x:v>category_6101117684a66f96ee6f4bef</x:v>
      </x:c>
      <x:c r="C20" s="24" t="str">
        <x:v>AP-2</x:v>
      </x:c>
      <x:c r="D20" s="24" t="str">
        <x:v>Stability-Constrained Construction</x:v>
      </x:c>
      <x:c r="E20" s="26" t="str">
        <x:v>R1</x:v>
      </x:c>
      <x:c r="F20" s="24" t="str">
        <x:v>复用Task/Evaluator，针对场景、可达性、参数或观测做局部修复</x:v>
      </x:c>
      <x:c r="G20" s="24" t="str">
        <x:v>Beechwood_0_garden</x:v>
      </x:c>
      <x:c r="H20" s="24" t="str">
        <x:v>dining_room_0</x:v>
      </x:c>
      <x:c r="I20" s="24" t="str">
        <x:v>3 个去重相关物体：outline_tray、coffee_bean_jar、refried_beans_can</x:v>
      </x:c>
      <x:c r="J20" s="24" t="str">
        <x:v>V2-储备</x:v>
      </x:c>
      <x:c r="K20" s="24" t="str">
        <x:v>两罐整体最小尺寸约13cm而夹爪口约10cm；需要可执行合法抓取与稳定3层塔。</x:v>
      </x:c>
      <x:c r="L20" s="24" t="str">
        <x:v>https://github.com/XuanCheg/Show-Harness-Explore/blob/33bada4bb278471b7a925cd8ddfa3d46a19f52fb/explore_to_achieve/tasks/Physical%20Dynamics/Stacking%20%26%20Stability/Beechwood_0_garden/dining_room_0/corev2__category_6101117684a66f96ee6f4bef.yaml</x:v>
      </x:c>
    </x:row>
    <x:row r="21" ht="51" customHeight="1">
      <x:c r="A21" s="24" t="str">
        <x:v>T19</x:v>
      </x:c>
      <x:c r="B21" s="24" t="str">
        <x:v>category_4c36dd4dc5bbbe9bc7e787d1</x:v>
      </x:c>
      <x:c r="C21" s="24" t="str">
        <x:v>AP-2</x:v>
      </x:c>
      <x:c r="D21" s="24" t="str">
        <x:v>Stability-Constrained Construction</x:v>
      </x:c>
      <x:c r="E21" s="26" t="str">
        <x:v>R1</x:v>
      </x:c>
      <x:c r="F21" s="24" t="str">
        <x:v>复用Task/Evaluator，针对场景、可达性、参数或观测做局部修复</x:v>
      </x:c>
      <x:c r="G21" s="24" t="str">
        <x:v>house_single_floor</x:v>
      </x:c>
      <x:c r="H21" s="24" t="str">
        <x:v>childs_room_0</x:v>
      </x:c>
      <x:c r="I21" s="24" t="str">
        <x:v>3 个去重相关物体：paperback_book、bowl、lunch_box</x:v>
      </x:c>
      <x:c r="J21" s="24" t="str">
        <x:v>V1-修复后</x:v>
      </x:c>
      <x:c r="K21" s="24" t="str">
        <x:v>薄书约8mm需开放书边夹指入口；完成碗/盒稳定支撑链。</x:v>
      </x:c>
      <x:c r="L21" s="24" t="str">
        <x:v>https://github.com/XuanCheg/Show-Harness-Explore/blob/33bada4bb278471b7a925cd8ddfa3d46a19f52fb/explore_to_achieve/tasks/Physical%20Dynamics/Stacking%20%26%20Stability/house_single_floor/childs_room_0/corev2__category_4c36dd4dc5bbbe9bc7e787d1.yaml</x:v>
      </x:c>
    </x:row>
    <x:row r="22" ht="51" customHeight="1">
      <x:c r="A22" s="24" t="str">
        <x:v>T20</x:v>
      </x:c>
      <x:c r="B22" s="24" t="str">
        <x:v>category_32485510e87a6ad8f32178d7</x:v>
      </x:c>
      <x:c r="C22" s="24" t="str">
        <x:v>AP-2</x:v>
      </x:c>
      <x:c r="D22" s="24" t="str">
        <x:v>Stability-Constrained Construction</x:v>
      </x:c>
      <x:c r="E22" s="26" t="str">
        <x:v>R1</x:v>
      </x:c>
      <x:c r="F22" s="24" t="str">
        <x:v>复用Task/Evaluator，针对场景、可达性、参数或观测做局部修复</x:v>
      </x:c>
      <x:c r="G22" s="24" t="str">
        <x:v>office_cubicles_right</x:v>
      </x:c>
      <x:c r="H22" s="24" t="str">
        <x:v>lobby_0</x:v>
      </x:c>
      <x:c r="I22" s="24" t="str">
        <x:v>3 个去重相关物体：can_of_tomatoes、mixing_bowl、tomato_sauce_jar</x:v>
      </x:c>
      <x:c r="J22" s="24" t="str">
        <x:v>V2-储备</x:v>
      </x:c>
      <x:c r="K22" s="24" t="str">
        <x:v>大碗29.3×25.9cm，罐约15.6×13cm，优先单独局部抓取诊断。</x:v>
      </x:c>
      <x:c r="L22" s="24" t="str">
        <x:v>https://github.com/XuanCheg/Show-Harness-Explore/blob/33bada4bb278471b7a925cd8ddfa3d46a19f52fb/explore_to_achieve/tasks/Physical%20Dynamics/Stacking%20%26%20Stability/office_cubicles_right/lobby_0/corev2__category_32485510e87a6ad8f32178d7.yaml</x:v>
      </x:c>
    </x:row>
    <x:row r="23" ht="51" customHeight="1">
      <x:c r="A23" s="24" t="str">
        <x:v>T21</x:v>
      </x:c>
      <x:c r="B23" s="24" t="str">
        <x:v>category_ff15948e066184024f87df96</x:v>
      </x:c>
      <x:c r="C23" s="24" t="str">
        <x:v>AP-2</x:v>
      </x:c>
      <x:c r="D23" s="24" t="str">
        <x:v>Stability-Constrained Construction</x:v>
      </x:c>
      <x:c r="E23" s="32" t="str">
        <x:v>R2</x:v>
      </x:c>
      <x:c r="F23" s="24" t="str">
        <x:v>复用Converter/Source/Scene，但任务目标、对照条件或评分需实质修订</x:v>
      </x:c>
      <x:c r="G23" s="24" t="str">
        <x:v>restaurant_asian</x:v>
      </x:c>
      <x:c r="H23" s="24" t="str">
        <x:v>bathroom_0</x:v>
      </x:c>
      <x:c r="I23" s="24" t="str">
        <x:v>3 个去重相关物体：chopping_board、shoe_box、box_of_cookies</x:v>
      </x:c>
      <x:c r="J23" s="24" t="str">
        <x:v>合并/替换</x:v>
      </x:c>
      <x:c r="K23" s="24" t="str">
        <x:v>浴室内三张45cm台桌引入非目标导航，替换为单个足够面积的合法工作站。</x:v>
      </x:c>
      <x:c r="L23" s="24" t="str">
        <x:v>https://github.com/XuanCheg/Show-Harness-Explore/blob/33bada4bb278471b7a925cd8ddfa3d46a19f52fb/explore_to_achieve/tasks/Physical%20Dynamics/Stacking%20%26%20Stability/restaurant_asian/bathroom_0/corev2__category_ff15948e066184024f87df96.yaml</x:v>
      </x:c>
    </x:row>
    <x:row r="24" ht="51" customHeight="1">
      <x:c r="A24" s="24" t="str">
        <x:v>T22</x:v>
      </x:c>
      <x:c r="B24" s="24" t="str">
        <x:v>category_e58c1c507e7cc7a429b80bd9</x:v>
      </x:c>
      <x:c r="C24" s="24" t="str">
        <x:v>GF-1</x:v>
      </x:c>
      <x:c r="D24" s="24" t="str">
        <x:v>Containment &amp; Affordance Selection</x:v>
      </x:c>
      <x:c r="E24" s="36" t="str">
        <x:v>R0</x:v>
      </x:c>
      <x:c r="F24" s="24" t="str">
        <x:v>复用完整Task Definition + Evaluator；只补真实性准入验证</x:v>
      </x:c>
      <x:c r="G24" s="24" t="str">
        <x:v>Beechwood_0_int</x:v>
      </x:c>
      <x:c r="H24" s="24" t="str">
        <x:v>living_room_1</x:v>
      </x:c>
      <x:c r="I24" s="24" t="str">
        <x:v>1 个目标 + 3 个候选容器</x:v>
      </x:c>
      <x:c r="J24" s="24" t="str">
        <x:v>V1-核心候选</x:v>
      </x:c>
      <x:c r="K24" s="24" t="str">
        <x:v>已有人工布局审查，需优先验证礼盒局部可夹部位及3.77m运送链。</x:v>
      </x:c>
      <x:c r="L24" s="24" t="str">
        <x:v>https://github.com/XuanCheg/Show-Harness-Explore/blob/33bada4bb278471b7a925cd8ddfa3d46a19f52fb/explore_to_achieve/tasks/Physical%20Structure/Rigid%20Containment/Beechwood_0_int/living_room_1/Beechwood_0_int_scene_dict_storage2_0_revised.yaml</x:v>
      </x:c>
    </x:row>
    <x:row r="25" ht="51" customHeight="1">
      <x:c r="A25" s="24" t="str">
        <x:v>T23</x:v>
      </x:c>
      <x:c r="B25" s="24" t="str">
        <x:v>category_8644156dec67b0eaddf1472a</x:v>
      </x:c>
      <x:c r="C25" s="24" t="str">
        <x:v>GF-1</x:v>
      </x:c>
      <x:c r="D25" s="24" t="str">
        <x:v>Containment &amp; Affordance Selection</x:v>
      </x:c>
      <x:c r="E25" s="36" t="str">
        <x:v>R0</x:v>
      </x:c>
      <x:c r="F25" s="24" t="str">
        <x:v>复用完整Task Definition + Evaluator；只补真实性准入验证</x:v>
      </x:c>
      <x:c r="G25" s="24" t="str">
        <x:v>Beechwood_1_int</x:v>
      </x:c>
      <x:c r="H25" s="24" t="str">
        <x:v>television_room_0</x:v>
      </x:c>
      <x:c r="I25" s="24" t="str">
        <x:v>3 个目标 + 3 个候选容器</x:v>
      </x:c>
      <x:c r="J25" s="24" t="str">
        <x:v>V1-核心候选</x:v>
      </x:c>
      <x:c r="K25" s="24" t="str">
        <x:v>3目标3容器；评分口径是逐个成功插入、可移出，不要误报同时容纳。</x:v>
      </x:c>
      <x:c r="L25" s="24" t="str">
        <x:v>https://github.com/XuanCheg/Show-Harness-Explore/blob/33bada4bb278471b7a925cd8ddfa3d46a19f52fb/explore_to_achieve/tasks/Physical%20Structure/Rigid%20Containment/Beechwood_1_int/television_room_0/Beechwood_1_int_scene_dict_storage2_1_revised__criterion_4.yaml</x:v>
      </x:c>
    </x:row>
    <x:row r="26" ht="51" customHeight="1">
      <x:c r="A26" s="24" t="str">
        <x:v>T24</x:v>
      </x:c>
      <x:c r="B26" s="24" t="str">
        <x:v>category_b1fffff9aef66e7517638538</x:v>
      </x:c>
      <x:c r="C26" s="24" t="str">
        <x:v>GF-1</x:v>
      </x:c>
      <x:c r="D26" s="24" t="str">
        <x:v>Containment &amp; Affordance Selection</x:v>
      </x:c>
      <x:c r="E26" s="36" t="str">
        <x:v>R0</x:v>
      </x:c>
      <x:c r="F26" s="24" t="str">
        <x:v>复用完整Task Definition + Evaluator；只补真实性准入验证</x:v>
      </x:c>
      <x:c r="G26" s="24" t="str">
        <x:v>Ihlen_1_int</x:v>
      </x:c>
      <x:c r="H26" s="24" t="str">
        <x:v>living_room_0</x:v>
      </x:c>
      <x:c r="I26" s="24" t="str">
        <x:v>1 个目标 + 3 个候选容器</x:v>
      </x:c>
      <x:c r="J26" s="24" t="str">
        <x:v>V1-核心候选</x:v>
      </x:c>
      <x:c r="K26" s="24" t="str">
        <x:v>最短0.96m端点距离便于低成本执行；仍需first_aid_kit合法抓取与入口。</x:v>
      </x:c>
      <x:c r="L26" s="24" t="str">
        <x:v>https://github.com/XuanCheg/Show-Harness-Explore/blob/33bada4bb278471b7a925cd8ddfa3d46a19f52fb/explore_to_achieve/tasks/Physical%20Structure/Rigid%20Containment/Ihlen_1_int/living_room_0/Ihlen_1_int_scene_dict_storage2_1_revised.yaml</x:v>
      </x:c>
    </x:row>
    <x:row r="27" ht="51" customHeight="1">
      <x:c r="A27" s="24" t="str">
        <x:v>T25</x:v>
      </x:c>
      <x:c r="B27" s="24" t="str">
        <x:v>category_654f8bfa37612193a879dd59</x:v>
      </x:c>
      <x:c r="C27" s="24" t="str">
        <x:v>GF-1</x:v>
      </x:c>
      <x:c r="D27" s="24" t="str">
        <x:v>Containment &amp; Affordance Selection</x:v>
      </x:c>
      <x:c r="E27" s="36" t="str">
        <x:v>R0</x:v>
      </x:c>
      <x:c r="F27" s="24" t="str">
        <x:v>复用完整Task Definition + Evaluator；只补真实性准入验证</x:v>
      </x:c>
      <x:c r="G27" s="24" t="str">
        <x:v>hall_arch_wood</x:v>
      </x:c>
      <x:c r="H27" s="24" t="str">
        <x:v>empty_room_0</x:v>
      </x:c>
      <x:c r="I27" s="24" t="str">
        <x:v>1 个目标 + 3 个候选容器</x:v>
      </x:c>
      <x:c r="J27" s="24" t="str">
        <x:v>V1-核心候选</x:v>
      </x:c>
      <x:c r="K27" s="24" t="str">
        <x:v>已有布局修复证据，验证香蕉和容器的真实抓取/释放，路径非欧距。</x:v>
      </x:c>
      <x:c r="L27" s="24" t="str">
        <x:v>https://github.com/XuanCheg/Show-Harness-Explore/blob/33bada4bb278471b7a925cd8ddfa3d46a19f52fb/explore_to_achieve/tasks/Physical%20Structure/Rigid%20Containment/hall_arch_wood/empty_room_0/corev2__category_654f8bfa37612193a879dd59__pillar_repair.yaml</x:v>
      </x:c>
    </x:row>
    <x:row r="28" ht="51" customHeight="1">
      <x:c r="A28" s="24" t="str">
        <x:v>T26</x:v>
      </x:c>
      <x:c r="B28" s="24" t="str">
        <x:v>category_bdb79bcc5beee90cfb942a32</x:v>
      </x:c>
      <x:c r="C28" s="24" t="str">
        <x:v>SR-1</x:v>
      </x:c>
      <x:c r="D28" s="24" t="str">
        <x:v>Geometric Arrangement &amp; Alignment</x:v>
      </x:c>
      <x:c r="E28" s="36" t="str">
        <x:v>R0</x:v>
      </x:c>
      <x:c r="F28" s="24" t="str">
        <x:v>复用完整Task Definition + Evaluator；只补真实性准入验证</x:v>
      </x:c>
      <x:c r="G28" s="24" t="str">
        <x:v>Beechwood_0_garden</x:v>
      </x:c>
      <x:c r="H28" s="24" t="str">
        <x:v>utility_room_0</x:v>
      </x:c>
      <x:c r="I28" s="24" t="str">
        <x:v>3 个去重相关物体：lime_juice_bottle、bottle_of_vinegar、jar_of_jam</x:v>
      </x:c>
      <x:c r="J28" s="24" t="str">
        <x:v>V1-核心候选</x:v>
      </x:c>
      <x:c r="K28" s="24" t="str">
        <x:v>局部0.519×0.449m历史包络不等于当前有效工作台；保留真正重排。</x:v>
      </x:c>
      <x:c r="L28" s="24" t="str">
        <x:v>https://github.com/XuanCheg/Show-Harness-Explore/blob/33bada4bb278471b7a925cd8ddfa3d46a19f52fb/explore_to_achieve/tasks/Spatial%20Relations/Geometric%20Configuration/Beechwood_0_garden/utility_room_0/corev2__category_bdb79bcc5beee90cfb942a32.yaml</x:v>
      </x:c>
    </x:row>
    <x:row r="29" ht="51" customHeight="1">
      <x:c r="A29" s="24" t="str">
        <x:v>T27</x:v>
      </x:c>
      <x:c r="B29" s="24" t="str">
        <x:v>category_abfc72cb2d4b9fb983221f89</x:v>
      </x:c>
      <x:c r="C29" s="24" t="str">
        <x:v>SR-1</x:v>
      </x:c>
      <x:c r="D29" s="24" t="str">
        <x:v>Geometric Arrangement &amp; Alignment</x:v>
      </x:c>
      <x:c r="E29" s="36" t="str">
        <x:v>R0</x:v>
      </x:c>
      <x:c r="F29" s="24" t="str">
        <x:v>复用完整Task Definition + Evaluator；只补真实性准入验证</x:v>
      </x:c>
      <x:c r="G29" s="24" t="str">
        <x:v>Beechwood_0_garden</x:v>
      </x:c>
      <x:c r="H29" s="24" t="str">
        <x:v>garden_0</x:v>
      </x:c>
      <x:c r="I29" s="24" t="str">
        <x:v>3 个去重相关物体：vase、snow_globe、alarm_clock</x:v>
      </x:c>
      <x:c r="J29" s="24" t="str">
        <x:v>V1-核心候选</x:v>
      </x:c>
      <x:c r="K29" s="24" t="str">
        <x:v>保留garden跨场景，但需共同支撑平台和稳定重排，不能把大花园当任务规模。</x:v>
      </x:c>
      <x:c r="L29" s="24" t="str">
        <x:v>https://github.com/XuanCheg/Show-Harness-Explore/blob/33bada4bb278471b7a925cd8ddfa3d46a19f52fb/explore_to_achieve/tasks/Spatial%20Relations/Geometric%20Configuration/Beechwood_0_garden/garden_0/corev2__category_abfc72cb2d4b9fb983221f89.yaml</x:v>
      </x:c>
    </x:row>
    <x:row r="30" ht="51" customHeight="1">
      <x:c r="A30" s="24" t="str">
        <x:v>T28</x:v>
      </x:c>
      <x:c r="B30" s="24" t="str">
        <x:v>category_1bb95023d01fbe5c29601ab3</x:v>
      </x:c>
      <x:c r="C30" s="24" t="str">
        <x:v>SR-1</x:v>
      </x:c>
      <x:c r="D30" s="24" t="str">
        <x:v>Geometric Arrangement &amp; Alignment</x:v>
      </x:c>
      <x:c r="E30" s="36" t="str">
        <x:v>R0</x:v>
      </x:c>
      <x:c r="F30" s="24" t="str">
        <x:v>复用完整Task Definition + Evaluator；只补真实性准入验证</x:v>
      </x:c>
      <x:c r="G30" s="24" t="str">
        <x:v>Beechwood_0_garden</x:v>
      </x:c>
      <x:c r="H30" s="24" t="str">
        <x:v>kitchen_0</x:v>
      </x:c>
      <x:c r="I30" s="24" t="str">
        <x:v>3 个去重相关物体：jar_of_sugar、thyme_shaker、vinegar_bottle</x:v>
      </x:c>
      <x:c r="J30" s="24" t="str">
        <x:v>V1-核心候选</x:v>
      </x:c>
      <x:c r="K30" s="24" t="str">
        <x:v>等腰目标必须排除退化近共线，并声明等边是否被视为等腰。</x:v>
      </x:c>
      <x:c r="L30" s="24" t="str">
        <x:v>https://github.com/XuanCheg/Show-Harness-Explore/blob/33bada4bb278471b7a925cd8ddfa3d46a19f52fb/explore_to_achieve/tasks/Spatial%20Relations/Geometric%20Configuration/Beechwood_0_garden/kitchen_0/corev2__category_1bb95023d01fbe5c29601ab3.yaml</x:v>
      </x:c>
    </x:row>
    <x:row r="31" ht="51" customHeight="1">
      <x:c r="A31" s="24" t="str">
        <x:v>T29</x:v>
      </x:c>
      <x:c r="B31" s="24" t="str">
        <x:v>category_be95222ebb4493f9b61d87fd</x:v>
      </x:c>
      <x:c r="C31" s="24" t="str">
        <x:v>SR-1</x:v>
      </x:c>
      <x:c r="D31" s="24" t="str">
        <x:v>Geometric Arrangement &amp; Alignment</x:v>
      </x:c>
      <x:c r="E31" s="26" t="str">
        <x:v>R1</x:v>
      </x:c>
      <x:c r="F31" s="24" t="str">
        <x:v>复用Task/Evaluator，针对场景、可达性、参数或观测做局部修复</x:v>
      </x:c>
      <x:c r="G31" s="24" t="str">
        <x:v>Beechwood_0_int</x:v>
      </x:c>
      <x:c r="H31" s="24" t="str">
        <x:v>kitchen_0</x:v>
      </x:c>
      <x:c r="I31" s="24" t="str">
        <x:v>3 个去重相关物体：salt_shaker、bottle_of_lemon_juice、erlenmeyer_flask</x:v>
      </x:c>
      <x:c r="J31" s="24" t="str">
        <x:v>V1-修复后</x:v>
      </x:c>
      <x:c r="K31" s="24" t="str">
        <x:v>烧瓶局部抓取+靠墙工作区要验证；等边与T26共享机制，作为跨楼层/场景变体。</x:v>
      </x:c>
      <x:c r="L31" s="24" t="str">
        <x:v>https://github.com/XuanCheg/Show-Harness-Explore/blob/33bada4bb278471b7a925cd8ddfa3d46a19f52fb/explore_to_achieve/tasks/Spatial%20Relations/Geometric%20Configuration/Beechwood_0_int/kitchen_0/corev2__category_be95222ebb4493f9b61d87fd.yaml</x:v>
      </x:c>
    </x:row>
    <x:row r="32" ht="51" customHeight="1">
      <x:c r="A32" s="24" t="str">
        <x:v>T30</x:v>
      </x:c>
      <x:c r="B32" s="24" t="str">
        <x:v>category_309ff5d1a6ed664bd8726e4b</x:v>
      </x:c>
      <x:c r="C32" s="24" t="str">
        <x:v>SR-1</x:v>
      </x:c>
      <x:c r="D32" s="24" t="str">
        <x:v>Geometric Arrangement &amp; Alignment</x:v>
      </x:c>
      <x:c r="E32" s="36" t="str">
        <x:v>R0</x:v>
      </x:c>
      <x:c r="F32" s="24" t="str">
        <x:v>复用完整Task Definition + Evaluator；只补真实性准入验证</x:v>
      </x:c>
      <x:c r="G32" s="24" t="str">
        <x:v>Beechwood_0_garden</x:v>
      </x:c>
      <x:c r="H32" s="24" t="str">
        <x:v>private_office_0</x:v>
      </x:c>
      <x:c r="I32" s="24" t="str">
        <x:v>3 个去重相关物体：bottle_of_vodka、liquid_soap_bottle、pepper_grinder</x:v>
      </x:c>
      <x:c r="J32" s="24" t="str">
        <x:v>V1-对照</x:v>
      </x:c>
      <x:c r="K32" s="24" t="str">
        <x:v>已共线no-op必须单列控制；动作种子需保证最小线段长度和真实位移。</x:v>
      </x:c>
      <x:c r="L32" s="24" t="str">
        <x:v>https://github.com/XuanCheg/Show-Harness-Explore/blob/33bada4bb278471b7a925cd8ddfa3d46a19f52fb/explore_to_achieve/tasks/Spatial%20Relations/Linear%20Alignment/Beechwood_0_garden/private_office_0/corev2__category_309ff5d1a6ed664bd8726e4b.yaml</x:v>
      </x:c>
    </x:row>
    <x:row r="33" ht="51" customHeight="1">
      <x:c r="A33" s="24" t="str">
        <x:v>T31</x:v>
      </x:c>
      <x:c r="B33" s="24" t="str">
        <x:v>category_93025169f0b17c9183a2fdd9</x:v>
      </x:c>
      <x:c r="C33" s="24" t="str">
        <x:v>SR-2</x:v>
      </x:c>
      <x:c r="D33" s="24" t="str">
        <x:v>Contact &amp; Separation Regulation</x:v>
      </x:c>
      <x:c r="E33" s="26" t="str">
        <x:v>R1</x:v>
      </x:c>
      <x:c r="F33" s="24" t="str">
        <x:v>复用Task/Evaluator，针对场景、可达性、参数或观测做局部修复</x:v>
      </x:c>
      <x:c r="G33" s="24" t="str">
        <x:v>house_double_floor_lower</x:v>
      </x:c>
      <x:c r="H33" s="24" t="str">
        <x:v>corridor_0</x:v>
      </x:c>
      <x:c r="I33" s="24" t="str">
        <x:v>2 个去重相关物体：violin、backpack</x:v>
      </x:c>
      <x:c r="J33" s="24" t="str">
        <x:v>V2-储备</x:v>
      </x:c>
      <x:c r="K33" s="24" t="str">
        <x:v>约60cm小提琴+走廊新增桌局部净空极敏感，暂转困难物体操作。</x:v>
      </x:c>
      <x:c r="L33" s="24" t="str">
        <x:v>https://github.com/XuanCheg/Show-Harness-Explore/blob/33bada4bb278471b7a925cd8ddfa3d46a19f52fb/explore_to_achieve/tasks/Spatial%20Relations/Physical%20Contact/house_double_floor_lower/corridor_0/corev2__category_93025169f0b17c9183a2fdd9.yaml</x:v>
      </x:c>
    </x:row>
    <x:row r="34" ht="51" customHeight="1">
      <x:c r="A34" s="24" t="str">
        <x:v>T32</x:v>
      </x:c>
      <x:c r="B34" s="24" t="str">
        <x:v>category_3a319828abcb43542f397e84</x:v>
      </x:c>
      <x:c r="C34" s="24" t="str">
        <x:v>SR-2</x:v>
      </x:c>
      <x:c r="D34" s="24" t="str">
        <x:v>Contact &amp; Separation Regulation</x:v>
      </x:c>
      <x:c r="E34" s="36" t="str">
        <x:v>R0</x:v>
      </x:c>
      <x:c r="F34" s="24" t="str">
        <x:v>复用完整Task Definition + Evaluator；只补真实性准入验证</x:v>
      </x:c>
      <x:c r="G34" s="24" t="str">
        <x:v>house_single_floor</x:v>
      </x:c>
      <x:c r="H34" s="24" t="str">
        <x:v>living_room_0</x:v>
      </x:c>
      <x:c r="I34" s="24" t="str">
        <x:v>2 个去重相关物体：vase、trophy</x:v>
      </x:c>
      <x:c r="J34" s="24" t="str">
        <x:v>V1-对照</x:v>
      </x:c>
      <x:c r="K34" s="24" t="str">
        <x:v>先检测初始已分离状态；将已满足任务作正确停止控制，不计重排成功。</x:v>
      </x:c>
      <x:c r="L34" s="24" t="str">
        <x:v>https://github.com/XuanCheg/Show-Harness-Explore/blob/33bada4bb278471b7a925cd8ddfa3d46a19f52fb/explore_to_achieve/tasks/Spatial%20Relations/Physical%20Contact/house_single_floor/living_room_0/corev2__category_3a319828abcb43542f397e84.yaml</x:v>
      </x:c>
    </x:row>
    <x:row r="35" ht="51" customHeight="1">
      <x:c r="A35" s="24" t="str">
        <x:v>T33</x:v>
      </x:c>
      <x:c r="B35" s="24" t="str">
        <x:v>category_53f113c7995ababbabdd5559</x:v>
      </x:c>
      <x:c r="C35" s="24" t="str">
        <x:v>SR-2</x:v>
      </x:c>
      <x:c r="D35" s="24" t="str">
        <x:v>Contact &amp; Separation Regulation</x:v>
      </x:c>
      <x:c r="E35" s="26" t="str">
        <x:v>R1</x:v>
      </x:c>
      <x:c r="F35" s="24" t="str">
        <x:v>复用Task/Evaluator，针对场景、可达性、参数或观测做局部修复</x:v>
      </x:c>
      <x:c r="G35" s="24" t="str">
        <x:v>house_single_floor</x:v>
      </x:c>
      <x:c r="H35" s="24" t="str">
        <x:v>corridor_0</x:v>
      </x:c>
      <x:c r="I35" s="24" t="str">
        <x:v>2 个去重相关物体：shoulder_bag、textbook</x:v>
      </x:c>
      <x:c r="J35" s="24" t="str">
        <x:v>V1-修复后</x:v>
      </x:c>
      <x:c r="K35" s="24" t="str">
        <x:v>以原生contact而非AABB重合判 touching，验证厚书边与shoulder_bag锚不动。</x:v>
      </x:c>
      <x:c r="L35" s="24" t="str">
        <x:v>https://github.com/XuanCheg/Show-Harness-Explore/blob/33bada4bb278471b7a925cd8ddfa3d46a19f52fb/explore_to_achieve/tasks/Spatial%20Relations/Physical%20Contact/house_single_floor/corridor_0/corev2__category_53f113c7995ababbabdd5559.yaml</x:v>
      </x:c>
    </x:row>
    <x:row r="36" ht="51" customHeight="1">
      <x:c r="A36" s="24" t="str">
        <x:v>T34</x:v>
      </x:c>
      <x:c r="B36" s="24" t="str">
        <x:v>category_95d214aac10eb07a73ba0a99</x:v>
      </x:c>
      <x:c r="C36" s="24" t="str">
        <x:v>SR-2</x:v>
      </x:c>
      <x:c r="D36" s="24" t="str">
        <x:v>Contact &amp; Separation Regulation</x:v>
      </x:c>
      <x:c r="E36" s="26" t="str">
        <x:v>R1</x:v>
      </x:c>
      <x:c r="F36" s="24" t="str">
        <x:v>复用Task/Evaluator，针对场景、可达性、参数或观测做局部修复</x:v>
      </x:c>
      <x:c r="G36" s="24" t="str">
        <x:v>office_cubicles_left</x:v>
      </x:c>
      <x:c r="H36" s="24" t="str">
        <x:v>corridor_0</x:v>
      </x:c>
      <x:c r="I36" s="24" t="str">
        <x:v>2 个去重相关物体：backpack、shoe_box</x:v>
      </x:c>
      <x:c r="J36" s="24" t="str">
        <x:v>V2-储备</x:v>
      </x:c>
      <x:c r="K36" s="24" t="str">
        <x:v>49.5cm背包压迫走廊与8.6cm鞋盒侧夹，待真实路径/扫掠验证。</x:v>
      </x:c>
      <x:c r="L36" s="24" t="str">
        <x:v>https://github.com/XuanCheg/Show-Harness-Explore/blob/33bada4bb278471b7a925cd8ddfa3d46a19f52fb/explore_to_achieve/tasks/Spatial%20Relations/Physical%20Contact/office_cubicles_left/corridor_0/corev2__category_95d214aac10eb07a73ba0a99.yaml</x:v>
      </x:c>
    </x:row>
    <x:row r="37" ht="51" customHeight="1">
      <x:c r="A37" s="24" t="str">
        <x:v>T35</x:v>
      </x:c>
      <x:c r="B37" s="24" t="str">
        <x:v>category_f7f89193432473c2bb37aeb5</x:v>
      </x:c>
      <x:c r="C37" s="24" t="str">
        <x:v>GG-1</x:v>
      </x:c>
      <x:c r="D37" s="24" t="str">
        <x:v>Active Search &amp; Physical Collection</x:v>
      </x:c>
      <x:c r="E37" s="36" t="str">
        <x:v>R0</x:v>
      </x:c>
      <x:c r="F37" s="24" t="str">
        <x:v>复用完整Task Definition + Evaluator；只补真实性准入验证</x:v>
      </x:c>
      <x:c r="G37" s="24" t="str">
        <x:v>house_single_floor</x:v>
      </x:c>
      <x:c r="H37" s="24" t="str">
        <x:v>living_room_0</x:v>
      </x:c>
      <x:c r="I37" s="24" t="str">
        <x:v>3 个目标 + 0 个显式相似干扰物 + 4 个语义货架 + 1 托盘</x:v>
      </x:c>
      <x:c r="J37" s="24" t="str">
        <x:v>V1-核心候选</x:v>
      </x:c>
      <x:c r="K37" s="24" t="str">
        <x:v>3目标0相似干扰；单房收集基线，必须区分最初可见/探索发现。</x:v>
      </x:c>
      <x:c r="L37" s="24" t="str">
        <x:v>https://github.com/XuanCheg/Show-Harness-Explore/blob/33bada4bb278471b7a925cd8ddfa3d46a19f52fb/explore_to_achieve/tasks/Enumerative%20Perception/Hidden%20Object%20Search/house_single_floor/single_room/corev2__category_f7f89193432473c2bb37aeb5.yaml</x:v>
      </x:c>
    </x:row>
    <x:row r="38" ht="51" customHeight="1">
      <x:c r="A38" s="24" t="str">
        <x:v>T36</x:v>
      </x:c>
      <x:c r="B38" s="24" t="str">
        <x:v>category_ff560c315a0a0407f6148a1b</x:v>
      </x:c>
      <x:c r="C38" s="24" t="str">
        <x:v>GG-1</x:v>
      </x:c>
      <x:c r="D38" s="24" t="str">
        <x:v>Active Search &amp; Physical Collection</x:v>
      </x:c>
      <x:c r="E38" s="36" t="str">
        <x:v>R0</x:v>
      </x:c>
      <x:c r="F38" s="24" t="str">
        <x:v>复用完整Task Definition + Evaluator；只补真实性准入验证</x:v>
      </x:c>
      <x:c r="G38" s="24" t="str">
        <x:v>house_single_floor</x:v>
      </x:c>
      <x:c r="H38" s="24" t="str">
        <x:v>living_room_0/kitchen_0/dining_room_0</x:v>
      </x:c>
      <x:c r="I38" s="24" t="str">
        <x:v>4 个目标 + 0 个显式相似干扰物 + 4 个语义货架 + 1 托盘</x:v>
      </x:c>
      <x:c r="J38" s="24" t="str">
        <x:v>V1-核心候选</x:v>
      </x:c>
      <x:c r="K38" s="24" t="str">
        <x:v>3房4目标，对照T35增加路线和一次抓取；同建筑不得跨train/test划分。</x:v>
      </x:c>
      <x:c r="L38" s="24" t="str">
        <x:v>https://github.com/XuanCheg/Show-Harness-Explore/blob/33bada4bb278471b7a925cd8ddfa3d46a19f52fb/explore_to_achieve/tasks/Enumerative%20Perception/Hidden%20Object%20Search/house_single_floor/multi_room/corev2__category_ff560c315a0a0407f6148a1b.yaml</x:v>
      </x:c>
    </x:row>
    <x:row r="39" ht="51" customHeight="1">
      <x:c r="A39" s="24" t="str">
        <x:v>T37</x:v>
      </x:c>
      <x:c r="B39" s="24" t="str">
        <x:v>category_d1156faa040aacc20c70b3ce</x:v>
      </x:c>
      <x:c r="C39" s="24" t="str">
        <x:v>GG-1</x:v>
      </x:c>
      <x:c r="D39" s="24" t="str">
        <x:v>Active Search &amp; Physical Collection</x:v>
      </x:c>
      <x:c r="E39" s="36" t="str">
        <x:v>R0</x:v>
      </x:c>
      <x:c r="F39" s="24" t="str">
        <x:v>复用完整Task Definition + Evaluator；只补真实性准入验证</x:v>
      </x:c>
      <x:c r="G39" s="24" t="str">
        <x:v>Beechwood_0_int</x:v>
      </x:c>
      <x:c r="H39" s="24" t="str">
        <x:v>living_room_1</x:v>
      </x:c>
      <x:c r="I39" s="24" t="str">
        <x:v>5 个目标 + 2 个显式相似干扰物 + 3 个语义货架 + 1 托盘</x:v>
      </x:c>
      <x:c r="J39" s="24" t="str">
        <x:v>V1-核心候选</x:v>
      </x:c>
      <x:c r="K39" s="24" t="str">
        <x:v>5目标2显式干扰，考身份筛选与持盘收集，需有双臂参考轨迹。</x:v>
      </x:c>
      <x:c r="L39" s="24" t="str">
        <x:v>https://github.com/XuanCheg/Show-Harness-Explore/blob/33bada4bb278471b7a925cd8ddfa3d46a19f52fb/explore_to_achieve/tasks/Enumerative%20Perception/Hidden%20Object%20Search/Beechwood_0_int/similar_repeated_views/corev2__category_d1156faa040aacc20c70b3ce.yaml</x:v>
      </x:c>
    </x:row>
    <x:row r="40" ht="51" customHeight="1">
      <x:c r="A40" s="24" t="str">
        <x:v>T38</x:v>
      </x:c>
      <x:c r="B40" s="24" t="str">
        <x:v>category_cdb38ede71f9e832885a7654</x:v>
      </x:c>
      <x:c r="C40" s="24" t="str">
        <x:v>TM-1</x:v>
      </x:c>
      <x:c r="D40" s="24" t="str">
        <x:v>Episodic Observation-to-Action</x:v>
      </x:c>
      <x:c r="E40" s="36" t="str">
        <x:v>R0</x:v>
      </x:c>
      <x:c r="F40" s="24" t="str">
        <x:v>复用完整Task Definition + Evaluator；只补真实性准入验证</x:v>
      </x:c>
      <x:c r="G40" s="24" t="str">
        <x:v>house_single_floor</x:v>
      </x:c>
      <x:c r="H40" s="24" t="str">
        <x:v>living_room_0</x:v>
      </x:c>
      <x:c r="I40" s="24" t="str">
        <x:v>3 个历史物体 + 3 个货架 + 1 送达托盘；最终取回 1 个目标</x:v>
      </x:c>
      <x:c r="J40" s="24" t="str">
        <x:v>V1-核心候选</x:v>
      </x:c>
      <x:c r="K40" s="24" t="str">
        <x:v>首次遇见前历史取回，配对初始信息相似但先前路径不同的试验。</x:v>
      </x:c>
      <x:c r="L40" s="24" t="str">
        <x:v>https://github.com/XuanCheg/Show-Harness-Explore/blob/33bada4bb278471b7a925cd8ddfa3d46a19f52fb/explore_to_achieve/tasks/Temporal%20Understanding/Agent%20Observation/house_single_floor/redesign_20261020/category_cdb38ede71f9e832885a7654.yaml</x:v>
      </x:c>
    </x:row>
    <x:row r="41" ht="51" customHeight="1">
      <x:c r="A41" s="24" t="str">
        <x:v>T39</x:v>
      </x:c>
      <x:c r="B41" s="24" t="str">
        <x:v>category_ebb26cc29316e397864246bd</x:v>
      </x:c>
      <x:c r="C41" s="24" t="str">
        <x:v>TM-1</x:v>
      </x:c>
      <x:c r="D41" s="24" t="str">
        <x:v>Episodic Observation-to-Action</x:v>
      </x:c>
      <x:c r="E41" s="36" t="str">
        <x:v>R0</x:v>
      </x:c>
      <x:c r="F41" s="24" t="str">
        <x:v>复用完整Task Definition + Evaluator；只补真实性准入验证</x:v>
      </x:c>
      <x:c r="G41" s="24" t="str">
        <x:v>Beechwood_0_int</x:v>
      </x:c>
      <x:c r="H41" s="24" t="str">
        <x:v>living_room_1</x:v>
      </x:c>
      <x:c r="I41" s="24" t="str">
        <x:v>3 个历史物体 + 3 个货架 + 1 送达托盘；最终取回 1 个目标</x:v>
      </x:c>
      <x:c r="J41" s="24" t="str">
        <x:v>V1-核心候选</x:v>
      </x:c>
      <x:c r="K41" s="24" t="str">
        <x:v>首次遇见后历史取回，与T38验证时间方向；同货架/建筑为同family。</x:v>
      </x:c>
      <x:c r="L41" s="24" t="str">
        <x:v>https://github.com/XuanCheg/Show-Harness-Explore/blob/33bada4bb278471b7a925cd8ddfa3d46a19f52fb/explore_to_achieve/tasks/Temporal%20Understanding/Agent%20Observation/Beechwood_0_int/redesign_20261020/category_ebb26cc29316e397864246bd.yaml</x:v>
      </x:c>
    </x:row>
    <x:row r="42" ht="51" customHeight="1">
      <x:c r="A42" s="24" t="str">
        <x:v>T40</x:v>
      </x:c>
      <x:c r="B42" s="24" t="str">
        <x:v>category_006a82c80075ae1fb18c5bc6</x:v>
      </x:c>
      <x:c r="C42" s="24" t="str">
        <x:v>TM-2</x:v>
      </x:c>
      <x:c r="D42" s="24" t="str">
        <x:v>Unobserved Change &amp; Contingent Action</x:v>
      </x:c>
      <x:c r="E42" s="26" t="str">
        <x:v>R1</x:v>
      </x:c>
      <x:c r="F42" s="24" t="str">
        <x:v>复用Task/Evaluator，针对场景、可达性、参数或观测做局部修复</x:v>
      </x:c>
      <x:c r="G42" s="24" t="str">
        <x:v>house_single_floor</x:v>
      </x:c>
      <x:c r="H42" s="24" t="str">
        <x:v>dining_room_0</x:v>
      </x:c>
      <x:c r="I42" s="24" t="str">
        <x:v>3 比较盒；Phase1 2 件、Phase2 1 件内容物；4 备用物；送达装置另计</x:v>
      </x:c>
      <x:c r="J42" s="24" t="str">
        <x:v>V1-修复后</x:v>
      </x:c>
      <x:c r="K42" s="24" t="str">
        <x:v>生成同当前观测/不同历史的成对初态，保留合法no-op。removed：置换初始盒位/内容/备用，让同样Phase2不能靠固定答案完成。</x:v>
      </x:c>
      <x:c r="L42" s="24" t="str">
        <x:v>https://github.com/XuanCheg/Show-Harness-Explore/blob/33bada4bb278471b7a925cd8ddfa3d46a19f52fb/explore_to_achieve/tasks/Temporal%20Understanding/Unobserved%20Change/house_single_floor/redesign_20261020/category_006a82c80075ae1fb18c5bc6.yaml</x:v>
      </x:c>
    </x:row>
    <x:row r="43" ht="51" customHeight="1">
      <x:c r="A43" s="24" t="str">
        <x:v>T41</x:v>
      </x:c>
      <x:c r="B43" s="24" t="str">
        <x:v>category_bd0c096bec07a9036cd4bb66</x:v>
      </x:c>
      <x:c r="C43" s="24" t="str">
        <x:v>TM-2</x:v>
      </x:c>
      <x:c r="D43" s="24" t="str">
        <x:v>Unobserved Change &amp; Contingent Action</x:v>
      </x:c>
      <x:c r="E43" s="36" t="str">
        <x:v>R0</x:v>
      </x:c>
      <x:c r="F43" s="24" t="str">
        <x:v>复用完整Task Definition + Evaluator；只补真实性准入验证</x:v>
      </x:c>
      <x:c r="G43" s="24" t="str">
        <x:v>house_single_floor</x:v>
      </x:c>
      <x:c r="H43" s="24" t="str">
        <x:v>dining_room_0</x:v>
      </x:c>
      <x:c r="I43" s="24" t="str">
        <x:v>3 比较盒；Phase1 2 件、Phase2 2 件内容物；4 备用物；送达装置另计</x:v>
      </x:c>
      <x:c r="J43" s="24" t="str">
        <x:v>V1-对照</x:v>
      </x:c>
      <x:c r="K43" s="24" t="str">
        <x:v>生成同当前观测/不同历史的成对初态，保留合法no-op。no_change：真实观察后停止即成功，不强迫做无意义动作；与有变化配对。</x:v>
      </x:c>
      <x:c r="L43" s="24" t="str">
        <x:v>https://github.com/XuanCheg/Show-Harness-Explore/blob/33bada4bb278471b7a925cd8ddfa3d46a19f52fb/explore_to_achieve/tasks/Temporal%20Understanding/Unobserved%20Change/house_single_floor/redesign_20261020/category_bd0c096bec07a9036cd4bb66.yaml</x:v>
      </x:c>
    </x:row>
    <x:row r="44" ht="51" customHeight="1">
      <x:c r="A44" s="24" t="str">
        <x:v>T42</x:v>
      </x:c>
      <x:c r="B44" s="24" t="str">
        <x:v>category_88ce9d62d891ae0ba628a6e9</x:v>
      </x:c>
      <x:c r="C44" s="24" t="str">
        <x:v>AP-3</x:v>
      </x:c>
      <x:c r="D44" s="24" t="str">
        <x:v>Experiment-to-Action Dynamics</x:v>
      </x:c>
      <x:c r="E44" s="32" t="str">
        <x:v>R2</x:v>
      </x:c>
      <x:c r="F44" s="24" t="str">
        <x:v>复用Converter/Source/Scene，但任务目标、对照条件或评分需实质修订</x:v>
      </x:c>
      <x:c r="G44" s="24" t="str">
        <x:v>house_single_floor</x:v>
      </x:c>
      <x:c r="H44" s="24" t="str">
        <x:v>living_room_0</x:v>
      </x:c>
      <x:c r="I44" s="24" t="str">
        <x:v>3 类候选 × trial/spare = 6 个可移动物体；18 个装置 binding 不等于 18 个独立物品</x:v>
      </x:c>
      <x:c r="J44" s="24" t="str">
        <x:v>V1-修复后</x:v>
      </x:c>
      <x:c r="K44" s="24" t="str">
        <x:v>先做至少两个物理条件导致不同唯一赢家的对照，然后验证真实试验→选择。三种候选需让不同物理参数下赢家变化；原ball总赢家会使试验变形式要求。</x:v>
      </x:c>
      <x:c r="L44" s="24" t="str">
        <x:v>https://github.com/XuanCheg/Show-Harness-Explore/blob/33bada4bb278471b7a925cd8ddfa3d46a19f52fb/explore_to_achieve/tasks/Physical%20Dynamics/Inclined%20Plane/house_single_floor/redesign_20261020/category_88ce9d62d891ae0ba628a6e9.yaml</x:v>
      </x:c>
    </x:row>
    <x:row r="45" ht="51" customHeight="1">
      <x:c r="A45" s="24" t="str">
        <x:v>T43</x:v>
      </x:c>
      <x:c r="B45" s="24" t="str">
        <x:v>category_75bff6e58684ce3d067bfee5</x:v>
      </x:c>
      <x:c r="C45" s="24" t="str">
        <x:v>AP-3</x:v>
      </x:c>
      <x:c r="D45" s="24" t="str">
        <x:v>Experiment-to-Action Dynamics</x:v>
      </x:c>
      <x:c r="E45" s="32" t="str">
        <x:v>R2</x:v>
      </x:c>
      <x:c r="F45" s="24" t="str">
        <x:v>复用Converter/Source/Scene，但任务目标、对照条件或评分需实质修订</x:v>
      </x:c>
      <x:c r="G45" s="24" t="str">
        <x:v>house_single_floor</x:v>
      </x:c>
      <x:c r="H45" s="24" t="str">
        <x:v>living_room_0</x:v>
      </x:c>
      <x:c r="I45" s="24" t="str">
        <x:v>3 类候选 × trial/spare = 6 个可移动物体；18 个装置 binding 不等于 18 个独立物品</x:v>
      </x:c>
      <x:c r="J45" s="24" t="str">
        <x:v>V1-修复后</x:v>
      </x:c>
      <x:c r="K45" s="24" t="str">
        <x:v>先做至少两个物理条件导致不同唯一赢家的对照，然后验证真实试验→选择。并列容差0.15s产生多个赢家；修订物理参数和明确赢家间隔再测。</x:v>
      </x:c>
      <x:c r="L45" s="24" t="str">
        <x:v>https://github.com/XuanCheg/Show-Harness-Explore/blob/33bada4bb278471b7a925cd8ddfa3d46a19f52fb/explore_to_achieve/tasks/Physical%20Dynamics/Inclined%20Plane/house_single_floor/redesign_20261020/category_75bff6e58684ce3d067bfee5.yaml</x:v>
      </x:c>
    </x:row>
    <x:row r="46" ht="51" customHeight="1">
      <x:c r="A46" s="24" t="str">
        <x:v>T44</x:v>
      </x:c>
      <x:c r="B46" s="24" t="str">
        <x:v>category_c8b7b9e832f5ee2958b6efe0</x:v>
      </x:c>
      <x:c r="C46" s="24" t="str">
        <x:v>AP-3</x:v>
      </x:c>
      <x:c r="D46" s="24" t="str">
        <x:v>Experiment-to-Action Dynamics</x:v>
      </x:c>
      <x:c r="E46" s="32" t="str">
        <x:v>R2</x:v>
      </x:c>
      <x:c r="F46" s="24" t="str">
        <x:v>复用Converter/Source/Scene，但任务目标、对照条件或评分需实质修订</x:v>
      </x:c>
      <x:c r="G46" s="24" t="str">
        <x:v>house_single_floor</x:v>
      </x:c>
      <x:c r="H46" s="24" t="str">
        <x:v>living_room_0</x:v>
      </x:c>
      <x:c r="I46" s="24" t="str">
        <x:v>3 类候选 × trial/spare = 6 个可移动物体；18 个装置 binding 不等于 18 个独立物品</x:v>
      </x:c>
      <x:c r="J46" s="24" t="str">
        <x:v>合并/替换</x:v>
      </x:c>
      <x:c r="K46" s="24" t="str">
        <x:v>先做至少两个物理条件导致不同唯一赢家的对照，然后验证真实试验→选择。与T42/T43同一斜坡站且ball均可成功，先合并为机制家族的参数变体；若赢者独立翻转可重新计入。</x:v>
      </x:c>
      <x:c r="L46" s="24" t="str">
        <x:v>https://github.com/XuanCheg/Show-Harness-Explore/blob/33bada4bb278471b7a925cd8ddfa3d46a19f52fb/explore_to_achieve/tasks/Physical%20Dynamics/Inclined%20Plane/house_single_floor/redesign_20261020/category_c8b7b9e832f5ee2958b6efe0.yaml</x:v>
      </x:c>
    </x:row>
    <x:row r="47" ht="51" customHeight="1">
      <x:c r="A47" s="24" t="str">
        <x:v>T45</x:v>
      </x:c>
      <x:c r="B47" s="24" t="str">
        <x:v>category_939a8fa9a40b1fc7e04a5db0</x:v>
      </x:c>
      <x:c r="C47" s="24" t="str">
        <x:v>TM-2</x:v>
      </x:c>
      <x:c r="D47" s="24" t="str">
        <x:v>Unobserved Change &amp; Contingent Action</x:v>
      </x:c>
      <x:c r="E47" s="26" t="str">
        <x:v>R1</x:v>
      </x:c>
      <x:c r="F47" s="24" t="str">
        <x:v>复用Task/Evaluator，针对场景、可达性、参数或观测做局部修复</x:v>
      </x:c>
      <x:c r="G47" s="24" t="str">
        <x:v>house_single_floor</x:v>
      </x:c>
      <x:c r="H47" s="24" t="str">
        <x:v>dining_room_0</x:v>
      </x:c>
      <x:c r="I47" s="24" t="str">
        <x:v>3 比较盒；Phase1 2 件、Phase2 3 件内容物；4 备用物；送达装置另计</x:v>
      </x:c>
      <x:c r="J47" s="24" t="str">
        <x:v>V1-修复后</x:v>
      </x:c>
      <x:c r="K47" s="24" t="str">
        <x:v>生成同当前观测/不同历史的成对初态，保留合法no-op。added：置换初始空盒位置，防止位置捷径；有效观察后抓取新物。</x:v>
      </x:c>
      <x:c r="L47" s="24" t="str">
        <x:v>https://github.com/XuanCheg/Show-Harness-Explore/blob/33bada4bb278471b7a925cd8ddfa3d46a19f52fb/explore_to_achieve/tasks/Temporal%20Understanding/Unobserved%20Change/house_single_floor/redesign_20261020/category_939a8fa9a40b1fc7e04a5db0.yaml</x:v>
      </x:c>
    </x:row>
    <x:row r="48" ht="51" customHeight="1">
      <x:c r="A48" s="24" t="str">
        <x:v>T46</x:v>
      </x:c>
      <x:c r="B48" s="24" t="str">
        <x:v>category_0498b76051279b8acd7e914e</x:v>
      </x:c>
      <x:c r="C48" s="24" t="str">
        <x:v>TM-2</x:v>
      </x:c>
      <x:c r="D48" s="24" t="str">
        <x:v>Unobserved Change &amp; Contingent Action</x:v>
      </x:c>
      <x:c r="E48" s="26" t="str">
        <x:v>R1</x:v>
      </x:c>
      <x:c r="F48" s="24" t="str">
        <x:v>复用Task/Evaluator，针对场景、可达性、参数或观测做局部修复</x:v>
      </x:c>
      <x:c r="G48" s="24" t="str">
        <x:v>house_single_floor</x:v>
      </x:c>
      <x:c r="H48" s="24" t="str">
        <x:v>dining_room_0</x:v>
      </x:c>
      <x:c r="I48" s="24" t="str">
        <x:v>3 比较盒；Phase1 2 件、Phase2 2 件内容物；4 备用物；送达装置另计</x:v>
      </x:c>
      <x:c r="J48" s="24" t="str">
        <x:v>V1-修复后</x:v>
      </x:c>
      <x:c r="K48" s="24" t="str">
        <x:v>生成同当前观测/不同历史的成对初态，保留合法no-op。moved：需基于历史返回原盒；随机化原位置并保持配对Phase2外观。</x:v>
      </x:c>
      <x:c r="L48" s="24" t="str">
        <x:v>https://github.com/XuanCheg/Show-Harness-Explore/blob/33bada4bb278471b7a925cd8ddfa3d46a19f52fb/explore_to_achieve/tasks/Temporal%20Understanding/Unobserved%20Change/house_single_floor/redesign_20261020/category_0498b76051279b8acd7e914e.yaml</x:v>
      </x:c>
    </x:row>
    <x:row r="49" ht="51" customHeight="1">
      <x:c r="A49" s="24" t="str">
        <x:v>T47</x:v>
      </x:c>
      <x:c r="B49" s="24" t="str">
        <x:v>category_b892978c0400005618c6589c</x:v>
      </x:c>
      <x:c r="C49" s="24" t="str">
        <x:v>TM-2</x:v>
      </x:c>
      <x:c r="D49" s="24" t="str">
        <x:v>Unobserved Change &amp; Contingent Action</x:v>
      </x:c>
      <x:c r="E49" s="26" t="str">
        <x:v>R1</x:v>
      </x:c>
      <x:c r="F49" s="24" t="str">
        <x:v>复用Task/Evaluator，针对场景、可达性、参数或观测做局部修复</x:v>
      </x:c>
      <x:c r="G49" s="24" t="str">
        <x:v>house_single_floor</x:v>
      </x:c>
      <x:c r="H49" s="24" t="str">
        <x:v>dining_room_0</x:v>
      </x:c>
      <x:c r="I49" s="24" t="str">
        <x:v>3 比较盒；Phase1 2 件、Phase2 2 件内容物；4 备用物；送达装置另计</x:v>
      </x:c>
      <x:c r="J49" s="24" t="str">
        <x:v>V1-修复后</x:v>
      </x:c>
      <x:c r="K49" s="24" t="str">
        <x:v>生成同当前观测/不同历史的成对初态，保留合法no-op。replaced：区别身份与位置变化，校验替换物实际可辨、清单不泄露。</x:v>
      </x:c>
      <x:c r="L49" s="24" t="str">
        <x:v>https://github.com/XuanCheg/Show-Harness-Explore/blob/33bada4bb278471b7a925cd8ddfa3d46a19f52fb/explore_to_achieve/tasks/Temporal%20Understanding/Unobserved%20Change/house_single_floor/redesign_20261020/category_b892978c0400005618c6589c.yaml</x:v>
      </x:c>
    </x:row>
    <x:row r="50" ht="51" customHeight="1">
      <x:c r="A50" s="24" t="str">
        <x:v>T48</x:v>
      </x:c>
      <x:c r="B50" s="24" t="str">
        <x:v>category_7fd79b0d5819ace319f077c7</x:v>
      </x:c>
      <x:c r="C50" s="24" t="str">
        <x:v>TM-2</x:v>
      </x:c>
      <x:c r="D50" s="24" t="str">
        <x:v>Unobserved Change &amp; Contingent Action</x:v>
      </x:c>
      <x:c r="E50" s="36" t="str">
        <x:v>R0</x:v>
      </x:c>
      <x:c r="F50" s="24" t="str">
        <x:v>复用完整Task Definition + Evaluator；只补真实性准入验证</x:v>
      </x:c>
      <x:c r="G50" s="24" t="str">
        <x:v>house_single_floor</x:v>
      </x:c>
      <x:c r="H50" s="24" t="str">
        <x:v>dining_room_0</x:v>
      </x:c>
      <x:c r="I50" s="24" t="str">
        <x:v>3 比较盒；Phase1 2 件、Phase2 2 件内容物；4 备用物；送达装置另计</x:v>
      </x:c>
      <x:c r="J50" s="24" t="str">
        <x:v>V1-核心候选</x:v>
      </x:c>
      <x:c r="K50" s="24" t="str">
        <x:v>生成同当前观测/不同历史的成对初态，保留合法no-op。复合变化按两项动作部分计分，必须区分与T40/T45的同scene变体。</x:v>
      </x:c>
      <x:c r="L50" s="24" t="str">
        <x:v>https://github.com/XuanCheg/Show-Harness-Explore/blob/33bada4bb278471b7a925cd8ddfa3d46a19f52fb/explore_to_achieve/tasks/Temporal%20Understanding/Unobserved%20Change/house_single_floor/redesign_20261020/category_7fd79b0d5819ace319f077c7.yaml</x:v>
      </x:c>
    </x:row>
    <x:row r="51" ht="51" customHeight="1">
      <x:c r="A51" s="24" t="str">
        <x:v>T49</x:v>
      </x:c>
      <x:c r="B51" s="24" t="str">
        <x:v>category_9fd3d70ee489c4228f5f44ec</x:v>
      </x:c>
      <x:c r="C51" s="24" t="str">
        <x:v>GG-2</x:v>
      </x:c>
      <x:c r="D51" s="24" t="str">
        <x:v>Occlusion Removal &amp; Retrieval</x:v>
      </x:c>
      <x:c r="E51" s="36" t="str">
        <x:v>R0</x:v>
      </x:c>
      <x:c r="F51" s="24" t="str">
        <x:v>复用完整Task Definition + Evaluator；只补真实性准入验证</x:v>
      </x:c>
      <x:c r="G51" s="24" t="str">
        <x:v>hall_arch_wood</x:v>
      </x:c>
      <x:c r="H51" s="24" t="str">
        <x:v>empty_room_0</x:v>
      </x:c>
      <x:c r="I51" s="24" t="str">
        <x:v>1 条真实浴巾 + 1 个遮盖物</x:v>
      </x:c>
      <x:c r="J51" s="24" t="str">
        <x:v>V1-对照</x:v>
      </x:c>
      <x:c r="K51" s="24" t="str">
        <x:v>同T50为简化的真实布料揭示基线；1番茄无需身份判别，不称独立认知机制。</x:v>
      </x:c>
      <x:c r="L51" s="24" t="str">
        <x:v>https://github.com/XuanCheg/Show-Harness-Explore/blob/33bada4bb278471b7a925cd8ddfa3d46a19f52fb/explore_to_achieve/tasks/Physical%20Structure/Deformable/hall_arch_wood/redesign_20261020/category_9fd3d70ee489c4228f5f44ec.yaml</x:v>
      </x:c>
    </x:row>
    <x:row r="52" ht="51" customHeight="1">
      <x:c r="A52" s="24" t="str">
        <x:v>T50</x:v>
      </x:c>
      <x:c r="B52" s="24" t="str">
        <x:v>category_fb64ed932434e097adc84053</x:v>
      </x:c>
      <x:c r="C52" s="24" t="str">
        <x:v>GG-2</x:v>
      </x:c>
      <x:c r="D52" s="24" t="str">
        <x:v>Occlusion Removal &amp; Retrieval</x:v>
      </x:c>
      <x:c r="E52" s="36" t="str">
        <x:v>R0</x:v>
      </x:c>
      <x:c r="F52" s="24" t="str">
        <x:v>复用完整Task Definition + Evaluator；只补真实性准入验证</x:v>
      </x:c>
      <x:c r="G52" s="24" t="str">
        <x:v>hall_arch_wood</x:v>
      </x:c>
      <x:c r="H52" s="24" t="str">
        <x:v>empty_room_0</x:v>
      </x:c>
      <x:c r="I52" s="24" t="str">
        <x:v>1 条真实浴巾 + 2 个遮盖物 + 1 送达托盘</x:v>
      </x:c>
      <x:c r="J52" s="24" t="str">
        <x:v>V1-核心候选</x:v>
      </x:c>
      <x:c r="K52" s="24" t="str">
        <x:v>首选布料+目标+干扰+托盘任务；验证扫布不破坏目标并真正辨认取回。</x:v>
      </x:c>
      <x:c r="L52" s="24" t="str">
        <x:v>https://github.com/XuanCheg/Show-Harness-Explore/blob/33bada4bb278471b7a925cd8ddfa3d46a19f52fb/explore_to_achieve/tasks/Physical%20Structure/Deformable/hall_arch_wood/redesign_20261020/category_fb64ed932434e097adc84053.yaml</x:v>
      </x:c>
    </x:row>
    <x:row r="53" ht="51" customHeight="1">
      <x:c r="A53" s="24" t="str">
        <x:v>T51</x:v>
      </x:c>
      <x:c r="B53" s="24" t="str">
        <x:v>category_e2b21727ae8a25c6b7b860d5</x:v>
      </x:c>
      <x:c r="C53" s="24" t="str">
        <x:v>GG-2</x:v>
      </x:c>
      <x:c r="D53" s="24" t="str">
        <x:v>Occlusion Removal &amp; Retrieval</x:v>
      </x:c>
      <x:c r="E53" s="26" t="str">
        <x:v>R1</x:v>
      </x:c>
      <x:c r="F53" s="24" t="str">
        <x:v>复用Task/Evaluator，针对场景、可达性、参数或观测做局部修复</x:v>
      </x:c>
      <x:c r="G53" s="24" t="str">
        <x:v>hall_arch_wood</x:v>
      </x:c>
      <x:c r="H53" s="24" t="str">
        <x:v>bathroom_0</x:v>
      </x:c>
      <x:c r="I53" s="24" t="str">
        <x:v>1 条真实浴巾 + 1 个遮盖物</x:v>
      </x:c>
      <x:c r="J53" s="24" t="str">
        <x:v>V2-储备</x:v>
      </x:c>
      <x:c r="K53" s="24" t="str">
        <x:v>1.3倍浴巾与卫生间窄环境放到布料泛化压力组，不算新机制。</x:v>
      </x:c>
      <x:c r="L53" s="24" t="str">
        <x:v>https://github.com/XuanCheg/Show-Harness-Explore/blob/33bada4bb278471b7a925cd8ddfa3d46a19f52fb/explore_to_achieve/tasks/Physical%20Structure/Deformable/hall_arch_wood/redesign_20261020/category_e2b21727ae8a25c6b7b860d5.yaml</x:v>
      </x:c>
    </x:row>
  </x:sheetData>
  <x:mergeCells>
    <x:mergeCell ref="A1:L2"/>
    <x:mergeCell ref="A3:L3"/>
  </x:mergeCells>
  <x:pageMargins left="0.7" right="0.7" top="0.75" bottom="0.75" header="0.3" footer="0.3"/>
  <x:tableParts count="1">
    <x:tablePart xmlns:r="http://schemas.openxmlformats.org/officeDocument/2006/relationships" r:id="R7b6e489f306b4c2f"/>
  </x:tableParts>
</x:worksheet>
</file>

<file path=xl/worksheets/sheet4.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2" hidden="0" customWidth="1"/>
    <x:col min="2" max="2" width="15" hidden="0" customWidth="1"/>
    <x:col min="3" max="3" width="44" hidden="0" customWidth="1"/>
    <x:col min="4" max="4" width="16" hidden="0" customWidth="1"/>
    <x:col min="5" max="5" width="46" hidden="0" customWidth="1"/>
    <x:col min="6" max="6" width="40" hidden="0" customWidth="1"/>
    <x:col min="7" max="7" width="73" hidden="0" customWidth="1"/>
    <x:col min="8" max="8" width="81" hidden="0" customWidth="1"/>
    <x:col min="9" max="9" width="22" hidden="0" customWidth="1"/>
    <x:col min="10" max="10" width="91" hidden="0" customWidth="1"/>
    <x:col min="11" max="11" width="84" hidden="0" customWidth="1"/>
  </x:cols>
  <x:sheetData>
    <x:row r="1" ht="24" customHeight="1">
      <x:c r="A1" s="4" t="str">
        <x:v>UNBUILT DESIGNS | CONVERTER-FIRST</x:v>
      </x:c>
      <x:c r="B1" s="4"/>
      <x:c r="C1" s="4"/>
      <x:c r="D1" s="4"/>
      <x:c r="E1" s="4"/>
      <x:c r="F1" s="4"/>
      <x:c r="G1" s="4"/>
      <x:c r="H1" s="4"/>
      <x:c r="I1" s="4"/>
      <x:c r="J1" s="4"/>
      <x:c r="K1" s="4"/>
    </x:row>
    <x:row r="2" ht="24" customHeight="1">
      <x:c r="A2" s="4"/>
      <x:c r="B2" s="4"/>
      <x:c r="C2" s="4"/>
      <x:c r="D2" s="4"/>
      <x:c r="E2" s="4"/>
      <x:c r="F2" s="4"/>
      <x:c r="G2" s="4"/>
      <x:c r="H2" s="4"/>
      <x:c r="I2" s="4"/>
      <x:c r="J2" s="4"/>
      <x:c r="K2" s="4"/>
    </x:row>
    <x:row r="3" ht="30" customHeight="1">
      <x:c r="A3" s="10" t="str">
        <x:v>8个Specular：已有光学Converter/ESI场景，不代表已实现操作；5个Dimension：限口/排序Evaluator需新建。</x:v>
      </x:c>
      <x:c r="B3" s="10"/>
      <x:c r="C3" s="10"/>
      <x:c r="D3" s="10"/>
      <x:c r="E3" s="10"/>
      <x:c r="F3" s="10"/>
      <x:c r="G3" s="10"/>
      <x:c r="H3" s="10"/>
      <x:c r="I3" s="10"/>
      <x:c r="J3" s="10"/>
      <x:c r="K3" s="10"/>
    </x:row>
    <x:row r="5" ht="32" customHeight="1">
      <x:c r="A5" s="17" t="str">
        <x:v>Draft ID</x:v>
      </x:c>
      <x:c r="B5" s="17" t="str">
        <x:v>Subclass</x:v>
      </x:c>
      <x:c r="C5" s="17" t="str">
        <x:v>Subcategory</x:v>
      </x:c>
      <x:c r="D5" s="17" t="str">
        <x:v>Asset reuse</x:v>
      </x:c>
      <x:c r="E5" s="17" t="str">
        <x:v>Candidate scene</x:v>
      </x:c>
      <x:c r="F5" s="17" t="str">
        <x:v>Room</x:v>
      </x:c>
      <x:c r="G5" s="17" t="str">
        <x:v>Target entities</x:v>
      </x:c>
      <x:c r="H5" s="17" t="str">
        <x:v>Spatial hints</x:v>
      </x:c>
      <x:c r="I5" s="17" t="str">
        <x:v>Previous recommendation</x:v>
      </x:c>
      <x:c r="J5" s="17" t="str">
        <x:v>Needed construction</x:v>
      </x:c>
      <x:c r="K5" s="17" t="str">
        <x:v>ESI source</x:v>
      </x:c>
    </x:row>
    <x:row r="6" ht="62" customHeight="1">
      <x:c r="A6" s="24" t="str">
        <x:v>R-C1</x:v>
      </x:c>
      <x:c r="B6" s="24" t="str">
        <x:v>GG-3</x:v>
      </x:c>
      <x:c r="C6" s="24" t="str">
        <x:v>Mirror-grounded Target Selection</x:v>
      </x:c>
      <x:c r="D6" s="24" t="str">
        <x:v>N1</x:v>
      </x:c>
      <x:c r="E6" s="24" t="str">
        <x:v>Ihlen_0_int</x:v>
      </x:c>
      <x:c r="F6" s="24" t="str">
        <x:v>garage_0</x:v>
      </x:c>
      <x:c r="G6" s="24" t="str">
        <x:v>3 个 tequila bottle 候选 + 1 镜面；送达区待实现</x:v>
      </x:c>
      <x:c r="H6" s="24" t="str">
        <x:v>局部镜像对应与取回；源观察点至物体 XY 距离 1.51–1.91 m，候选最大 XY 间距 1.177 m；源 FOV 100°</x:v>
      </x:c>
      <x:c r="I6" s="24" t="str">
        <x:v>V1-修复后</x:v>
      </x:c>
      <x:c r="J6" s="24" t="str">
        <x:v>先确认R1真实八路图像中的光学证据及候选物物理可操作性；不以ESI自由相机截图代替。3同类tequila瓶+镜面，关键是原8路R1光学对应、相机位姿、真实可抓取。</x:v>
      </x:c>
      <x:c r="K6" s="24" t="str">
        <x:v>https://github.com/ESI-Bench/ESI-Bench/blob/9f6f15ed43e81654a97de9e4db2a1fedadca2bc1/dataset/json_clean/Specular%20Reflection/Correspondence/Ihlen_0_int/garage_0/q_000.json</x:v>
      </x:c>
    </x:row>
    <x:row r="7" ht="62" customHeight="1">
      <x:c r="A7" s="24" t="str">
        <x:v>R-C2</x:v>
      </x:c>
      <x:c r="B7" s="24" t="str">
        <x:v>GG-3</x:v>
      </x:c>
      <x:c r="C7" s="24" t="str">
        <x:v>Mirror-grounded Target Selection</x:v>
      </x:c>
      <x:c r="D7" s="24" t="str">
        <x:v>N1</x:v>
      </x:c>
      <x:c r="E7" s="24" t="str">
        <x:v>hall_glass_ceiling</x:v>
      </x:c>
      <x:c r="F7" s="24" t="str">
        <x:v>empty_room_0</x:v>
      </x:c>
      <x:c r="G7" s="24" t="str">
        <x:v>3 个 drip pot 候选 + 1 镜面；送达区待实现</x:v>
      </x:c>
      <x:c r="H7" s="24" t="str">
        <x:v>hall_glass_ceiling 局部任务；源 XY 距离 2.20–2.45 m，候选最大间距 1.626 m；源 FOV 100°</x:v>
      </x:c>
      <x:c r="I7" s="24" t="str">
        <x:v>V2-储备</x:v>
      </x:c>
      <x:c r="J7" s="24" t="str">
        <x:v>先确认R1真实八路图像中的光学证据及候选物物理可操作性；不以ESI自由相机截图代替。玻璃顶大厅跨度1.626m且壶低位，先排除光学误配/碰撞与路径困难。</x:v>
      </x:c>
      <x:c r="K7" s="24" t="str">
        <x:v>https://github.com/ESI-Bench/ESI-Bench/blob/9f6f15ed43e81654a97de9e4db2a1fedadca2bc1/dataset/json_clean/Specular%20Reflection/Correspondence/hall_glass_ceiling/empty_room_0/q_007.json</x:v>
      </x:c>
    </x:row>
    <x:row r="8" ht="62" customHeight="1">
      <x:c r="A8" s="24" t="str">
        <x:v>R-C3</x:v>
      </x:c>
      <x:c r="B8" s="24" t="str">
        <x:v>GG-3</x:v>
      </x:c>
      <x:c r="C8" s="24" t="str">
        <x:v>Mirror-grounded Target Selection</x:v>
      </x:c>
      <x:c r="D8" s="24" t="str">
        <x:v>N1</x:v>
      </x:c>
      <x:c r="E8" s="24" t="str">
        <x:v>Beechwood_0_garden</x:v>
      </x:c>
      <x:c r="F8" s="24" t="str">
        <x:v>living_room_0</x:v>
      </x:c>
      <x:c r="G8" s="24" t="str">
        <x:v>3 个 pasta box 候选 + 1 镜面；送达区待实现</x:v>
      </x:c>
      <x:c r="H8" s="24" t="str">
        <x:v>Beechwood garden living room；源 XY 距离 1.91–2.20 m，最大间距 1.059 m；源 FOV 100°</x:v>
      </x:c>
      <x:c r="I8" s="24" t="str">
        <x:v>V1-修复后</x:v>
      </x:c>
      <x:c r="J8" s="24" t="str">
        <x:v>先确认R1真实八路图像中的光学证据及候选物物理可操作性；不以ESI自由相机截图代替。3 pasta_box+镜面可作为形状对照，消除固定位置/纹理身份捷径。</x:v>
      </x:c>
      <x:c r="K8" s="24" t="str">
        <x:v>https://github.com/ESI-Bench/ESI-Bench/blob/9f6f15ed43e81654a97de9e4db2a1fedadca2bc1/dataset/json_clean/Specular%20Reflection/Correspondence/Beechwood_0_garden/living_room_0/q_003.json</x:v>
      </x:c>
    </x:row>
    <x:row r="9" ht="62" customHeight="1">
      <x:c r="A9" s="24" t="str">
        <x:v>R-S1</x:v>
      </x:c>
      <x:c r="B9" s="24" t="str">
        <x:v>SR-3</x:v>
      </x:c>
      <x:c r="C9" s="24" t="str">
        <x:v>Reflection-grounded Reconfiguration</x:v>
      </x:c>
      <x:c r="D9" s="24" t="str">
        <x:v>N1</x:v>
      </x:c>
      <x:c r="E9" s="24" t="str">
        <x:v>Merom_0_garden</x:v>
      </x:c>
      <x:c r="F9" s="24" t="str">
        <x:v>living_room_0</x:v>
      </x:c>
      <x:c r="G9" s="24" t="str">
        <x:v>2 个物体：vodka bottle A、supplement bottle B + 1 镜面</x:v>
      </x:c>
      <x:c r="H9" s="24" t="str">
        <x:v>源 FOV 70°；观察点到 A/B 的 3D 距离约 0.818/1.231 m（XY 0.495/0.990 m）</x:v>
      </x:c>
      <x:c r="I9" s="24" t="str">
        <x:v>V1-修复后</x:v>
      </x:c>
      <x:c r="J9" s="24" t="str">
        <x:v>先确认R1真实八路图像中的光学证据及候选物物理可操作性；不以ESI自由相机截图代替。冻结初始参考点并对真实物体距离顺序反转，明确大于噪声的间距margin。</x:v>
      </x:c>
      <x:c r="K9" s="24" t="str">
        <x:v>https://github.com/ESI-Bench/ESI-Bench/blob/9f6f15ed43e81654a97de9e4db2a1fedadca2bc1/dataset/json_clean/Specular%20Reflection/Spatial%20Relations/Merom_0_garden/living_room_0/q_003.json</x:v>
      </x:c>
    </x:row>
    <x:row r="10" ht="62" customHeight="1">
      <x:c r="A10" s="24" t="str">
        <x:v>R-S2</x:v>
      </x:c>
      <x:c r="B10" s="24" t="str">
        <x:v>SR-3</x:v>
      </x:c>
      <x:c r="C10" s="24" t="str">
        <x:v>Reflection-grounded Reconfiguration</x:v>
      </x:c>
      <x:c r="D10" s="24" t="str">
        <x:v>N1</x:v>
      </x:c>
      <x:c r="E10" s="24" t="str">
        <x:v>Wainscott_0_garden</x:v>
      </x:c>
      <x:c r="F10" s="24" t="str">
        <x:v>living_room_2</x:v>
      </x:c>
      <x:c r="G10" s="24" t="str">
        <x:v>2 个物体：chili plant A、alarm clock B + 1 镜面</x:v>
      </x:c>
      <x:c r="H10" s="24" t="str">
        <x:v>源 FOV 70°；A/B 3D 距离约 1.595/1.345 m，距离差约 0.250 m</x:v>
      </x:c>
      <x:c r="I10" s="24" t="str">
        <x:v>V2-储备</x:v>
      </x:c>
      <x:c r="J10" s="24" t="str">
        <x:v>先确认R1真实八路图像中的光学证据及候选物物理可操作性；不以ESI自由相机截图代替。原距离差0.25m，植物/钟抓取和沉降风险高；保留低margin stress。</x:v>
      </x:c>
      <x:c r="K10" s="24" t="str">
        <x:v>https://github.com/ESI-Bench/ESI-Bench/blob/9f6f15ed43e81654a97de9e4db2a1fedadca2bc1/dataset/json_clean/Specular%20Reflection/Spatial%20Relations/Wainscott_0_garden/living_room_2/q_001.json</x:v>
      </x:c>
    </x:row>
    <x:row r="11" ht="62" customHeight="1">
      <x:c r="A11" s="24" t="str">
        <x:v>R-S3</x:v>
      </x:c>
      <x:c r="B11" s="24" t="str">
        <x:v>SR-3</x:v>
      </x:c>
      <x:c r="C11" s="24" t="str">
        <x:v>Reflection-grounded Reconfiguration</x:v>
      </x:c>
      <x:c r="D11" s="24" t="str">
        <x:v>N1</x:v>
      </x:c>
      <x:c r="E11" s="24" t="str">
        <x:v>house_double_floor_lower</x:v>
      </x:c>
      <x:c r="F11" s="24" t="str">
        <x:v>living_room_0</x:v>
      </x:c>
      <x:c r="G11" s="24" t="str">
        <x:v>2 个物体：shampoo bottle A、vase B + 1 镜面</x:v>
      </x:c>
      <x:c r="H11" s="24" t="str">
        <x:v>源 FOV 70°；A/B 3D 距离约 1.900/1.273 m（XY 1.785/1.050 m）</x:v>
      </x:c>
      <x:c r="I11" s="24" t="str">
        <x:v>V1-修复后</x:v>
      </x:c>
      <x:c r="J11" s="24" t="str">
        <x:v>先确认R1真实八路图像中的光学证据及候选物物理可操作性；不以ESI自由相机截图代替。原B更近，任务必须移动物体而不是机器人改观察点；验证花瓶局部持握。</x:v>
      </x:c>
      <x:c r="K11" s="24" t="str">
        <x:v>https://github.com/ESI-Bench/ESI-Bench/blob/9f6f15ed43e81654a97de9e4db2a1fedadca2bc1/dataset/json_clean/Specular%20Reflection/Spatial%20Relations/house_double_floor_lower/living_room_0/q_000.json</x:v>
      </x:c>
    </x:row>
    <x:row r="12" ht="62" customHeight="1">
      <x:c r="A12" s="24" t="str">
        <x:v>R-A1</x:v>
      </x:c>
      <x:c r="B12" s="24" t="str">
        <x:v>GG-3</x:v>
      </x:c>
      <x:c r="C12" s="24" t="str">
        <x:v>Mirror-grounded Target Selection</x:v>
      </x:c>
      <x:c r="D12" s="24" t="str">
        <x:v>N1</x:v>
      </x:c>
      <x:c r="E12" s="24" t="str">
        <x:v>hall_glass_ceiling</x:v>
      </x:c>
      <x:c r="F12" s="24" t="str">
        <x:v>empty_room_0</x:v>
      </x:c>
      <x:c r="G12" s="24" t="str">
        <x:v>1 个 reagent bottle + 1 镜面；条件送达区待实现</x:v>
      </x:c>
      <x:c r="H12" s="24" t="str">
        <x:v>源 Yes（反射）；FOV 100°；瓶与原相机 XY 完全重合，源高度约 0.112/0.810 m</x:v>
      </x:c>
      <x:c r="I12" s="24" t="str">
        <x:v>V2-储备</x:v>
      </x:c>
      <x:c r="J12" s="24" t="str">
        <x:v>先确认R1真实八路图像中的光学证据及候选物物理可操作性；不以ESI自由相机截图代替。源相机与reagent瓶同XY；R1真实相机对位易碰撞，先换source/重建合法光学。</x:v>
      </x:c>
      <x:c r="K12" s="24" t="str">
        <x:v>https://github.com/ESI-Bench/ESI-Bench/blob/9f6f15ed43e81654a97de9e4db2a1fedadca2bc1/dataset/json_clean/Specular%20Reflection/Reflection%20Authoring/hall_glass_ceiling/empty_room_0/q_000.json</x:v>
      </x:c>
    </x:row>
    <x:row r="13" ht="62" customHeight="1">
      <x:c r="A13" s="24" t="str">
        <x:v>R-A2</x:v>
      </x:c>
      <x:c r="B13" s="24" t="str">
        <x:v>GG-3</x:v>
      </x:c>
      <x:c r="C13" s="24" t="str">
        <x:v>Mirror-grounded Target Selection</x:v>
      </x:c>
      <x:c r="D13" s="24" t="str">
        <x:v>N1</x:v>
      </x:c>
      <x:c r="E13" s="24" t="str">
        <x:v>restaurant_hotel</x:v>
      </x:c>
      <x:c r="F13" s="24" t="str">
        <x:v>dining_room_0</x:v>
      </x:c>
      <x:c r="G13" s="24" t="str">
        <x:v>1 个 milk carton + 1 镜面；条件送达区待实现</x:v>
      </x:c>
      <x:c r="H13" s="24" t="str">
        <x:v>源 No（直视）；FOV 100°；观察点到物体 XY 距离约 2.886 m</x:v>
      </x:c>
      <x:c r="I13" s="24" t="str">
        <x:v>V1-对照</x:v>
      </x:c>
      <x:c r="J13" s="24" t="str">
        <x:v>先确认R1真实八路图像中的光学证据及候选物物理可操作性；不以ESI自由相机截图代替。直视No分支是镜像判断负样本，必须搭配R-C/Yes任务并完成条件送达。</x:v>
      </x:c>
      <x:c r="K13" s="24" t="str">
        <x:v>https://github.com/ESI-Bench/ESI-Bench/blob/9f6f15ed43e81654a97de9e4db2a1fedadca2bc1/dataset/json_clean/Specular%20Reflection/Reflection%20Authoring/restaurant_hotel/dining_room_0/q_001.json</x:v>
      </x:c>
    </x:row>
    <x:row r="14" ht="62" customHeight="1">
      <x:c r="A14" s="24" t="str">
        <x:v>D1-1</x:v>
      </x:c>
      <x:c r="B14" s="24" t="str">
        <x:v>GF-2</x:v>
      </x:c>
      <x:c r="C14" s="24" t="str">
        <x:v>Dimension-constrained Insertion</x:v>
      </x:c>
      <x:c r="D14" s="24" t="str">
        <x:v>N2</x:v>
      </x:c>
      <x:c r="E14" s="24" t="str">
        <x:v>Beechwood (exact scene uncommitted)</x:v>
      </x:c>
      <x:c r="F14" s="24" t="str">
        <x:v>dining_room (uncommitted)</x:v>
      </x:c>
      <x:c r="G14" s="24" t="str">
        <x:v>拟 3 个尺寸冲突候选 + 1 个受限入口；最终资产未定</x:v>
      </x:c>
      <x:c r="H14" s="24" t="str">
        <x:v>Beechwood dining room 仅是预选房型，准确 scene/room 未提交；局部插入工作站</x:v>
      </x:c>
      <x:c r="I14" s="24" t="str">
        <x:v>V1-修复后</x:v>
      </x:c>
      <x:c r="J14" s="24" t="str">
        <x:v>从原场景工作区筛选；独立建装置、Evaluator，验证所有允许姿态。新作宽度限口；必须真实穿过入口、三候选唯一可行且允许姿态搜索。</x:v>
      </x:c>
      <x:c r="K14" s="24" t="str">
        <x:v>未提交</x:v>
      </x:c>
    </x:row>
    <x:row r="15" ht="62" customHeight="1">
      <x:c r="A15" s="24" t="str">
        <x:v>D1-2</x:v>
      </x:c>
      <x:c r="B15" s="24" t="str">
        <x:v>GF-2</x:v>
      </x:c>
      <x:c r="C15" s="24" t="str">
        <x:v>Dimension-constrained Insertion</x:v>
      </x:c>
      <x:c r="D15" s="24" t="str">
        <x:v>N2</x:v>
      </x:c>
      <x:c r="E15" s="24" t="str">
        <x:v>Merom (exact scene uncommitted)</x:v>
      </x:c>
      <x:c r="F15" s="24" t="str">
        <x:v>playroom (uncommitted)</x:v>
      </x:c>
      <x:c r="G15" s="24" t="str">
        <x:v>拟 3 个候选 + 1 个有顶隔间；最终资产未定</x:v>
      </x:c>
      <x:c r="H15" s="24" t="str">
        <x:v>Merom playroom 为预选；宽与高共同约束，局部工作区大小待测</x:v>
      </x:c>
      <x:c r="I15" s="24" t="str">
        <x:v>V1-修复后</x:v>
      </x:c>
      <x:c r="J15" s="24" t="str">
        <x:v>从原场景工作区筛选；独立建装置、Evaluator，验证所有允许姿态。宽高相互冲突，有顶隔间同时允许夹爪进入/退出；先锁定scene_ID。</x:v>
      </x:c>
      <x:c r="K15" s="24" t="str">
        <x:v>未提交</x:v>
      </x:c>
    </x:row>
    <x:row r="16" ht="62" customHeight="1">
      <x:c r="A16" s="24" t="str">
        <x:v>D1-3</x:v>
      </x:c>
      <x:c r="B16" s="24" t="str">
        <x:v>GF-2</x:v>
      </x:c>
      <x:c r="C16" s="24" t="str">
        <x:v>Dimension-constrained Insertion</x:v>
      </x:c>
      <x:c r="D16" s="24" t="str">
        <x:v>N2</x:v>
      </x:c>
      <x:c r="E16" s="24" t="str">
        <x:v>house_double_floor (exact scene uncommitted)</x:v>
      </x:c>
      <x:c r="F16" s="24" t="str">
        <x:v>living_room (uncommitted)</x:v>
      </x:c>
      <x:c r="G16" s="24" t="str">
        <x:v>拟 3 个候选 + 1 个深度/朝向受限入口；最终资产未定</x:v>
      </x:c>
      <x:c r="H16" s="24" t="str">
        <x:v>house_double_floor living room 为预选；准确楼层与布局未锁定</x:v>
      </x:c>
      <x:c r="I16" s="24" t="str">
        <x:v>V2-储备</x:v>
      </x:c>
      <x:c r="J16" s="24" t="str">
        <x:v>从原场景工作区筛选；独立建装置、Evaluator，验证所有允许姿态。深度/朝向约束偏连续精细控制，先到V2做扫掠体积可行性。</x:v>
      </x:c>
      <x:c r="K16" s="24" t="str">
        <x:v>未提交</x:v>
      </x:c>
    </x:row>
    <x:row r="17" ht="62" customHeight="1">
      <x:c r="A17" s="24" t="str">
        <x:v>D2-1</x:v>
      </x:c>
      <x:c r="B17" s="24" t="str">
        <x:v>GF-3</x:v>
      </x:c>
      <x:c r="C17" s="24" t="str">
        <x:v>Metric Sorting &amp; Assignment</x:v>
      </x:c>
      <x:c r="D17" s="24" t="str">
        <x:v>N2</x:v>
      </x:c>
      <x:c r="E17" s="24" t="str">
        <x:v>Beechwood (exact scene uncommitted)</x:v>
      </x:c>
      <x:c r="F17" s="24" t="str">
        <x:v>kitchen (uncommitted)</x:v>
      </x:c>
      <x:c r="G17" s="24" t="str">
        <x:v>拟 3 个待排序物体 + 3 个放置位置；最终资产未定</x:v>
      </x:c>
      <x:c r="H17" s="24" t="str">
        <x:v>Beechwood kitchen 为预选；同一可达台面上的高度排序</x:v>
      </x:c>
      <x:c r="I17" s="24" t="str">
        <x:v>V1-修复后</x:v>
      </x:c>
      <x:c r="J17" s="24" t="str">
        <x:v>从原场景工作区筛选；独立建装置、Evaluator，验证所有允许姿态。3物体按本征高度排序且在单一紧凑工作站放稳，和现有几何构型互补。</x:v>
      </x:c>
      <x:c r="K17" s="24" t="str">
        <x:v>未提交</x:v>
      </x:c>
    </x:row>
    <x:row r="18" ht="62" customHeight="1">
      <x:c r="A18" s="24" t="str">
        <x:v>D2-2</x:v>
      </x:c>
      <x:c r="B18" s="24" t="str">
        <x:v>GF-3</x:v>
      </x:c>
      <x:c r="C18" s="24" t="str">
        <x:v>Metric Sorting &amp; Assignment</x:v>
      </x:c>
      <x:c r="D18" s="24" t="str">
        <x:v>N2</x:v>
      </x:c>
      <x:c r="E18" s="24" t="str">
        <x:v>office_cubicles (exact scene uncommitted)</x:v>
      </x:c>
      <x:c r="F18" s="24" t="str">
        <x:v>lobby (uncommitted)</x:v>
      </x:c>
      <x:c r="G18" s="24" t="str">
        <x:v>拟 4 个待排序物体 + 4 个放置位置；最终资产未定</x:v>
      </x:c>
      <x:c r="H18" s="24" t="str">
        <x:v>office_cubicles lobby 为预选；紧凑局部宽度排序站，不代表整栋办公室尺度</x:v>
      </x:c>
      <x:c r="I18" s="24" t="str">
        <x:v>V2-储备</x:v>
      </x:c>
      <x:c r="J18" s="24" t="str">
        <x:v>从原场景工作区筛选；独立建装置、Evaluator，验证所有允许姿态。4物体、宽度、不同大厅三变量混杂；在同站3/4物体配对后再加入。</x:v>
      </x:c>
      <x:c r="K18" s="24" t="str">
        <x:v>未提交</x:v>
      </x:c>
    </x:row>
  </x:sheetData>
  <x:mergeCells>
    <x:mergeCell ref="A1:K2"/>
    <x:mergeCell ref="A3:K3"/>
  </x:mergeCells>
  <x:pageMargins left="0.7" right="0.7" top="0.75" bottom="0.75" header="0.3" footer="0.3"/>
  <x:tableParts count="1">
    <x:tablePart xmlns:r="http://schemas.openxmlformats.org/officeDocument/2006/relationships" r:id="R85192937f353458a"/>
  </x:tableParts>
</x:worksheet>
</file>

<file path=xl/worksheets/sheet5.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0" hidden="0" customWidth="1"/>
    <x:col min="2" max="2" width="35" hidden="0" customWidth="1"/>
    <x:col min="3" max="3" width="22" hidden="0" customWidth="1"/>
    <x:col min="4" max="4" width="12" hidden="0" customWidth="1"/>
    <x:col min="5" max="5" width="15" hidden="0" customWidth="1"/>
    <x:col min="6" max="6" width="39" hidden="0" customWidth="1"/>
    <x:col min="7" max="7" width="10" hidden="0" customWidth="1"/>
    <x:col min="8" max="8" width="22" hidden="0" customWidth="1"/>
    <x:col min="9" max="9" width="26" hidden="0" customWidth="1"/>
    <x:col min="10" max="10" width="27" hidden="0" customWidth="1"/>
    <x:col min="11" max="11" width="34" hidden="0" customWidth="1"/>
    <x:col min="12" max="12" width="33" hidden="0" customWidth="1"/>
    <x:col min="13" max="13" width="11" hidden="0" customWidth="1"/>
    <x:col min="14" max="14" width="57" hidden="0" customWidth="1"/>
    <x:col min="15" max="15" width="71" hidden="0" customWidth="1"/>
    <x:col min="16" max="16" width="77" hidden="0" customWidth="1"/>
    <x:col min="17" max="17" width="19" hidden="0" customWidth="1"/>
    <x:col min="18" max="18" width="16" hidden="0" customWidth="1"/>
    <x:col min="19" max="19" width="17" hidden="0" customWidth="1"/>
    <x:col min="20" max="20" width="44" hidden="0" customWidth="1"/>
    <x:col min="21" max="21" width="69" hidden="0" customWidth="1"/>
  </x:cols>
  <x:sheetData>
    <x:row r="1" ht="24" customHeight="1">
      <x:c r="A1" s="4" t="str">
        <x:v>ALL 61 TASKS | CLASSIFICATION + ACTION</x:v>
      </x:c>
      <x:c r="B1" s="4"/>
      <x:c r="C1" s="4"/>
      <x:c r="D1" s="4"/>
      <x:c r="E1" s="4"/>
      <x:c r="F1" s="4"/>
      <x:c r="G1" s="4"/>
      <x:c r="H1" s="4"/>
      <x:c r="I1" s="4"/>
      <x:c r="J1" s="4"/>
      <x:c r="K1" s="4"/>
      <x:c r="L1" s="4"/>
      <x:c r="M1" s="4"/>
      <x:c r="N1" s="4"/>
      <x:c r="O1" s="4"/>
      <x:c r="P1" s="4"/>
      <x:c r="Q1" s="4"/>
      <x:c r="R1" s="4"/>
      <x:c r="S1" s="4"/>
      <x:c r="T1" s="4"/>
      <x:c r="U1" s="4"/>
    </x:row>
    <x:row r="2" ht="24" customHeight="1">
      <x:c r="A2" s="4"/>
      <x:c r="B2" s="4"/>
      <x:c r="C2" s="4"/>
      <x:c r="D2" s="4"/>
      <x:c r="E2" s="4"/>
      <x:c r="F2" s="4"/>
      <x:c r="G2" s="4"/>
      <x:c r="H2" s="4"/>
      <x:c r="I2" s="4"/>
      <x:c r="J2" s="4"/>
      <x:c r="K2" s="4"/>
      <x:c r="L2" s="4"/>
      <x:c r="M2" s="4"/>
      <x:c r="N2" s="4"/>
      <x:c r="O2" s="4"/>
      <x:c r="P2" s="4"/>
      <x:c r="Q2" s="4"/>
      <x:c r="R2" s="4"/>
      <x:c r="S2" s="4"/>
      <x:c r="T2" s="4"/>
      <x:c r="U2" s="4"/>
    </x:row>
    <x:row r="3" ht="30" customHeight="1">
      <x:c r="A3" s="10" t="str">
        <x:v>原ESI类别保留作为provenance；新分类按物理认知挑战归属；R0不代表已执行通过。</x:v>
      </x:c>
      <x:c r="B3" s="10"/>
      <x:c r="C3" s="10"/>
      <x:c r="D3" s="10"/>
      <x:c r="E3" s="10"/>
      <x:c r="F3" s="10"/>
      <x:c r="G3" s="10"/>
      <x:c r="H3" s="10"/>
      <x:c r="I3" s="10"/>
      <x:c r="J3" s="10"/>
      <x:c r="K3" s="10"/>
      <x:c r="L3" s="10"/>
      <x:c r="M3" s="10"/>
      <x:c r="N3" s="10"/>
      <x:c r="O3" s="10"/>
      <x:c r="P3" s="10"/>
      <x:c r="Q3" s="10"/>
      <x:c r="R3" s="10"/>
      <x:c r="S3" s="10"/>
      <x:c r="T3" s="10"/>
      <x:c r="U3" s="10"/>
    </x:row>
    <x:row r="5" ht="32" customHeight="1">
      <x:c r="A5" s="17" t="str">
        <x:v>Task</x:v>
      </x:c>
      <x:c r="B5" s="17" t="str">
        <x:v>Canonical/source ID</x:v>
      </x:c>
      <x:c r="C5" s="17" t="str">
        <x:v>Origin</x:v>
      </x:c>
      <x:c r="D5" s="17" t="str">
        <x:v>Major</x:v>
      </x:c>
      <x:c r="E5" s="17" t="str">
        <x:v>Subclass ID</x:v>
      </x:c>
      <x:c r="F5" s="17" t="str">
        <x:v>Subcategory</x:v>
      </x:c>
      <x:c r="G5" s="17" t="str">
        <x:v>Reuse</x:v>
      </x:c>
      <x:c r="H5" s="17" t="str">
        <x:v>Previous rollout priority</x:v>
      </x:c>
      <x:c r="I5" s="17" t="str">
        <x:v>ESI Big</x:v>
      </x:c>
      <x:c r="J5" s="17" t="str">
        <x:v>ESI Small</x:v>
      </x:c>
      <x:c r="K5" s="17" t="str">
        <x:v>Scene ID</x:v>
      </x:c>
      <x:c r="L5" s="17" t="str">
        <x:v>Room</x:v>
      </x:c>
      <x:c r="M5" s="17" t="str">
        <x:v>Targets</x:v>
      </x:c>
      <x:c r="N5" s="17" t="str">
        <x:v>Task-related entities</x:v>
      </x:c>
      <x:c r="O5" s="17" t="str">
        <x:v>Core risk</x:v>
      </x:c>
      <x:c r="P5" s="17" t="str">
        <x:v>Recommended fix</x:v>
      </x:c>
      <x:c r="Q5" s="17" t="str">
        <x:v>Scope</x:v>
      </x:c>
      <x:c r="R5" s="17" t="str">
        <x:v>Known label m²</x:v>
      </x:c>
      <x:c r="S5" s="17" t="str">
        <x:v>Source route m</x:v>
      </x:c>
      <x:c r="T5" s="17" t="str">
        <x:v>Available evidence</x:v>
      </x:c>
      <x:c r="U5" s="17" t="str">
        <x:v>Source URL</x:v>
      </x:c>
    </x:row>
    <x:row r="6" ht="54" customHeight="1">
      <x:c r="A6" s="24" t="str">
        <x:v>T01</x:v>
      </x:c>
      <x:c r="B6" s="24" t="str">
        <x:v>category_17d798839775b73b4f9f8d26</x:v>
      </x:c>
      <x:c r="C6" s="24" t="str">
        <x:v>CoreV2 retained</x:v>
      </x:c>
      <x:c r="D6" s="24" t="str">
        <x:v>AP</x:v>
      </x:c>
      <x:c r="E6" s="24" t="str">
        <x:v>AP-1</x:v>
      </x:c>
      <x:c r="F6" s="24" t="str">
        <x:v>Prescribed-order Physical Execution</x:v>
      </x:c>
      <x:c r="G6" s="26" t="str">
        <x:v>R1</x:v>
      </x:c>
      <x:c r="H6" s="24" t="str">
        <x:v>V1-对照</x:v>
      </x:c>
      <x:c r="I6" s="24" t="str">
        <x:v>Action Sequencing</x:v>
      </x:c>
      <x:c r="J6" s="24" t="str">
        <x:v>Action Order Inference</x:v>
      </x:c>
      <x:c r="K6" s="24" t="str">
        <x:v>Merom_0_garden</x:v>
      </x:c>
      <x:c r="L6" s="24" t="str">
        <x:v>utility_room_0</x:v>
      </x:c>
      <x:c r="M6" s="24" t="n">
        <x:v>3</x:v>
      </x:c>
      <x:c r="N6" s="24" t="str">
        <x:v>5 个去重相关物体：wicker_basket、pizza_box、pizza_box、lemon、lemon；中间物1+底层候选2+顶层候选2，终态3物体</x:v>
      </x:c>
      <x:c r="O6" s="24" t="str">
        <x:v>两只 pizza_box、wicker_basket、两只 lemon 共 5 个候选，不是 3 个。篮子开口和柠檬滚动会把“稳定在上面”与“掉进篮子”混在一起；目标已给定操作次序，不能计为推断顺序。</x:v>
      </x:c>
      <x:c r="P6" s="24" t="str">
        <x:v>保留给定次序执行对照；篮内落入与顶部承托的成功关系必须明确，证明稳定退手。</x:v>
      </x:c>
      <x:c r="Q6" s="24" t="str">
        <x:v>局部工作区／尺寸待测</x:v>
      </x:c>
      <x:c r="R6" s="24"/>
      <x:c r="S6" s="24"/>
      <x:c r="T6" s="24" t="str">
        <x:v>已有候选YAML；完整物理执行未认证</x:v>
      </x:c>
      <x:c r="U6" s="24" t="str">
        <x:v>https://github.com/XuanCheg/Show-Harness-Explore/blob/33bada4bb278471b7a925cd8ddfa3d46a19f52fb/explore_to_achieve/tasks/Action%20Sequencing/Action%20Order%20Inference/Merom_0_garden/utility_room_0/corev2__category_17d798839775b73b4f9f8d26.yaml</x:v>
      </x:c>
    </x:row>
    <x:row r="7" ht="54" customHeight="1">
      <x:c r="A7" s="24" t="str">
        <x:v>T02</x:v>
      </x:c>
      <x:c r="B7" s="24" t="str">
        <x:v>category_11e210b18d60f8824aa6f88e</x:v>
      </x:c>
      <x:c r="C7" s="24" t="str">
        <x:v>CoreV2 retained</x:v>
      </x:c>
      <x:c r="D7" s="24" t="str">
        <x:v>AP</x:v>
      </x:c>
      <x:c r="E7" s="24" t="str">
        <x:v>AP-1</x:v>
      </x:c>
      <x:c r="F7" s="24" t="str">
        <x:v>Prescribed-order Physical Execution</x:v>
      </x:c>
      <x:c r="G7" s="26" t="str">
        <x:v>R1</x:v>
      </x:c>
      <x:c r="H7" s="24" t="str">
        <x:v>V2-储备</x:v>
      </x:c>
      <x:c r="I7" s="24" t="str">
        <x:v>Action Sequencing</x:v>
      </x:c>
      <x:c r="J7" s="24" t="str">
        <x:v>Action Order Inference</x:v>
      </x:c>
      <x:c r="K7" s="24" t="str">
        <x:v>house_single_floor</x:v>
      </x:c>
      <x:c r="L7" s="24" t="str">
        <x:v>dining_room_0</x:v>
      </x:c>
      <x:c r="M7" s="24" t="n">
        <x:v>3</x:v>
      </x:c>
      <x:c r="N7" s="24" t="str">
        <x:v>5 个去重相关物体：gift_box、cutting_board、cutting_board、softball、softball；中间物1+底层候选2+顶层候选2，终态3物体</x:v>
      </x:c>
      <x:c r="O7" s="24" t="str">
        <x:v>gift_box 上放 softball 容易滚动；两块 cutting_board 和两只 softball 的候选选择与塔稳定性叠加，初始布局分散会额外考查移动。仅 0.5 秒稳定窗口可能接受短暂平衡，需用回放检查。</x:v>
      </x:c>
      <x:c r="P7" s="24" t="str">
        <x:v>软球滚动+五候选分散使物理失稳主导；先完成参照合法堆叠轨迹。</x:v>
      </x:c>
      <x:c r="Q7" s="24" t="str">
        <x:v>局部工作区／尺寸待测</x:v>
      </x:c>
      <x:c r="R7" s="24"/>
      <x:c r="S7" s="24"/>
      <x:c r="T7" s="24" t="str">
        <x:v>已有候选YAML；完整物理执行未认证</x:v>
      </x:c>
      <x:c r="U7" s="24" t="str">
        <x:v>https://github.com/XuanCheg/Show-Harness-Explore/blob/33bada4bb278471b7a925cd8ddfa3d46a19f52fb/explore_to_achieve/tasks/Action%20Sequencing/Action%20Order%20Inference/house_single_floor/dining_room_0/corev2__category_11e210b18d60f8824aa6f88e.yaml</x:v>
      </x:c>
    </x:row>
    <x:row r="8" ht="54" customHeight="1">
      <x:c r="A8" s="24" t="str">
        <x:v>T03</x:v>
      </x:c>
      <x:c r="B8" s="24" t="str">
        <x:v>category_47e03b7b97473aacca3cfd04</x:v>
      </x:c>
      <x:c r="C8" s="24" t="str">
        <x:v>CoreV2 retained</x:v>
      </x:c>
      <x:c r="D8" s="24" t="str">
        <x:v>AP</x:v>
      </x:c>
      <x:c r="E8" s="24" t="str">
        <x:v>AP-1</x:v>
      </x:c>
      <x:c r="F8" s="24" t="str">
        <x:v>Prescribed-order Physical Execution</x:v>
      </x:c>
      <x:c r="G8" s="26" t="str">
        <x:v>R1</x:v>
      </x:c>
      <x:c r="H8" s="24" t="str">
        <x:v>V2-储备</x:v>
      </x:c>
      <x:c r="I8" s="24" t="str">
        <x:v>Action Sequencing</x:v>
      </x:c>
      <x:c r="J8" s="24" t="str">
        <x:v>Action Order Inference</x:v>
      </x:c>
      <x:c r="K8" s="24" t="str">
        <x:v>office_cubicles_left</x:v>
      </x:c>
      <x:c r="L8" s="24" t="str">
        <x:v>lobby_0</x:v>
      </x:c>
      <x:c r="M8" s="24" t="n">
        <x:v>3</x:v>
      </x:c>
      <x:c r="N8" s="24" t="str">
        <x:v>5 个去重相关物体：casserole、pizza_box、pizza_box、pear、pear；中间物1+底层候选2+顶层候选2，终态3物体</x:v>
      </x:c>
      <x:c r="O8" s="24" t="str">
        <x:v>casserole 有凹腔和手柄，pear 可能落入容器而不是形成预期塔；pizza_box 两候选的承载面几何与 pear 稳定性决定可行性，房间大不能替代接触验证。</x:v>
      </x:c>
      <x:c r="P8" s="24" t="str">
        <x:v>梨落入 casserole 腔体与合法支撑链语义冲突，先重写支持关系。</x:v>
      </x:c>
      <x:c r="Q8" s="24" t="str">
        <x:v>局部工作区／尺寸待测</x:v>
      </x:c>
      <x:c r="R8" s="24"/>
      <x:c r="S8" s="24"/>
      <x:c r="T8" s="24" t="str">
        <x:v>已有候选YAML；完整物理执行未认证</x:v>
      </x:c>
      <x:c r="U8" s="24" t="str">
        <x:v>https://github.com/XuanCheg/Show-Harness-Explore/blob/33bada4bb278471b7a925cd8ddfa3d46a19f52fb/explore_to_achieve/tasks/Action%20Sequencing/Action%20Order%20Inference/office_cubicles_left/lobby_0/corev2__category_47e03b7b97473aacca3cfd04.yaml</x:v>
      </x:c>
    </x:row>
    <x:row r="9" ht="54" customHeight="1">
      <x:c r="A9" s="24" t="str">
        <x:v>T04</x:v>
      </x:c>
      <x:c r="B9" s="24" t="str">
        <x:v>category_a8f49ca31bf5f14acf8ab31a</x:v>
      </x:c>
      <x:c r="C9" s="24" t="str">
        <x:v>CoreV2 retained</x:v>
      </x:c>
      <x:c r="D9" s="24" t="str">
        <x:v>NT</x:v>
      </x:c>
      <x:c r="E9" s="24" t="str">
        <x:v>NT-1</x:v>
      </x:c>
      <x:c r="F9" s="24" t="str">
        <x:v>Connectivity &amp; Topology Verification</x:v>
      </x:c>
      <x:c r="G9" s="26" t="str">
        <x:v>R1</x:v>
      </x:c>
      <x:c r="H9" s="24" t="str">
        <x:v>V1-修复后</x:v>
      </x:c>
      <x:c r="I9" s="24" t="str">
        <x:v>Cognitive Mapping</x:v>
      </x:c>
      <x:c r="J9" s="24" t="str">
        <x:v>Connectivity</x:v>
      </x:c>
      <x:c r="K9" s="24" t="str">
        <x:v>Rs_int</x:v>
      </x:c>
      <x:c r="L9" s="24" t="str">
        <x:v>full_scene</x:v>
      </x:c>
      <x:c r="M9" s="24"/>
      <x:c r="N9" s="24" t="str">
        <x:v>2 个相关区域；1 个邻接问题；物体总数待测</x:v>
      </x:c>
      <x:c r="O9" s="24" t="str">
        <x:v>2个目标区域、1个邻接判断；任务要求base translation/rotation但保留原生门且要求真实开门。源no-door通行图不能证明当前R1可过门；是否存在必须开门的路线仍需实测。</x:v>
      </x:c>
      <x:c r="P9" s="24" t="str">
        <x:v>实测R1穿门/开门/撤出；只核对空间邻接不能代替实际访问。</x:v>
      </x:c>
      <x:c r="Q9" s="24" t="str">
        <x:v>多区域／中程</x:v>
      </x:c>
      <x:c r="R9" s="24"/>
      <x:c r="S9" s="24"/>
      <x:c r="T9" s="24" t="str">
        <x:v>已有候选YAML；完整物理执行未认证</x:v>
      </x:c>
      <x:c r="U9" s="24" t="str">
        <x:v>https://github.com/XuanCheg/Show-Harness-Explore/blob/33bada4bb278471b7a925cd8ddfa3d46a19f52fb/explore_to_achieve/tasks/Cognitive%20Mapping/Connectivity/Rs_int/full_scene/corev2__category_a8f49ca31bf5f14acf8ab31a.yaml</x:v>
      </x:c>
    </x:row>
    <x:row r="10" ht="54" customHeight="1">
      <x:c r="A10" s="24" t="str">
        <x:v>T05</x:v>
      </x:c>
      <x:c r="B10" s="24" t="str">
        <x:v>category_cf3697aa6546a5518f3e5735</x:v>
      </x:c>
      <x:c r="C10" s="24" t="str">
        <x:v>CoreV2 retained</x:v>
      </x:c>
      <x:c r="D10" s="24" t="str">
        <x:v>NT</x:v>
      </x:c>
      <x:c r="E10" s="24" t="str">
        <x:v>NT-1</x:v>
      </x:c>
      <x:c r="F10" s="24" t="str">
        <x:v>Connectivity &amp; Topology Verification</x:v>
      </x:c>
      <x:c r="G10" s="26" t="str">
        <x:v>R1</x:v>
      </x:c>
      <x:c r="H10" s="24" t="str">
        <x:v>V1-修复后</x:v>
      </x:c>
      <x:c r="I10" s="24" t="str">
        <x:v>Cognitive Mapping</x:v>
      </x:c>
      <x:c r="J10" s="24" t="str">
        <x:v>Connectivity</x:v>
      </x:c>
      <x:c r="K10" s="24" t="str">
        <x:v>house_double_floor_upper</x:v>
      </x:c>
      <x:c r="L10" s="24" t="str">
        <x:v>full_scene</x:v>
      </x:c>
      <x:c r="M10" s="24"/>
      <x:c r="N10" s="24" t="str">
        <x:v>5 个相关区域；5 个邻接问题；物体总数待测</x:v>
      </x:c>
      <x:c r="O10" s="24" t="str">
        <x:v>5个区域、5个邻接问题合并为一次episode；初始Agent overview被允许且历史当前版本视觉审查说能看见室内平面。需区分其RGB与human_only分割图，实测初始图是否已暴露拓扑。</x:v>
      </x:c>
      <x:c r="P10" s="24" t="str">
        <x:v>审核初始8路RGB与overview是否泄露完整平面拓扑；统一五问证据。</x:v>
      </x:c>
      <x:c r="Q10" s="24" t="str">
        <x:v>多区域／中程</x:v>
      </x:c>
      <x:c r="R10" s="24" t="n">
        <x:v>118.69</x:v>
      </x:c>
      <x:c r="S10" s="24"/>
      <x:c r="T10" s="24" t="str">
        <x:v>已有候选YAML；完整物理执行未认证</x:v>
      </x:c>
      <x:c r="U10" s="24" t="str">
        <x:v>https://github.com/XuanCheg/Show-Harness-Explore/blob/33bada4bb278471b7a925cd8ddfa3d46a19f52fb/explore_to_achieve/tasks/Cognitive%20Mapping/Connectivity/house_double_floor_upper/full_scene/corev2__category_cf3697aa6546a5518f3e5735.yaml</x:v>
      </x:c>
    </x:row>
    <x:row r="11" ht="54" customHeight="1">
      <x:c r="A11" s="24" t="str">
        <x:v>T06</x:v>
      </x:c>
      <x:c r="B11" s="24" t="str">
        <x:v>category_5296997426a116135b7c80aa</x:v>
      </x:c>
      <x:c r="C11" s="24" t="str">
        <x:v>CoreV2 retained</x:v>
      </x:c>
      <x:c r="D11" s="24" t="str">
        <x:v>NT</x:v>
      </x:c>
      <x:c r="E11" s="24" t="str">
        <x:v>NT-1</x:v>
      </x:c>
      <x:c r="F11" s="24" t="str">
        <x:v>Connectivity &amp; Topology Verification</x:v>
      </x:c>
      <x:c r="G11" s="26" t="str">
        <x:v>R1</x:v>
      </x:c>
      <x:c r="H11" s="24" t="str">
        <x:v>V2-储备</x:v>
      </x:c>
      <x:c r="I11" s="24" t="str">
        <x:v>Cognitive Mapping</x:v>
      </x:c>
      <x:c r="J11" s="24" t="str">
        <x:v>Connectivity</x:v>
      </x:c>
      <x:c r="K11" s="24" t="str">
        <x:v>school_geography</x:v>
      </x:c>
      <x:c r="L11" s="24" t="str">
        <x:v>full_scene</x:v>
      </x:c>
      <x:c r="M11" s="24"/>
      <x:c r="N11" s="24" t="str">
        <x:v>4 个相关区域；5 个邻接问题；物体总数待测</x:v>
      </x:c>
      <x:c r="O11" s="24" t="str">
        <x:v>4个任务相关区域、5个邻接问题；原生房间分割标签覆盖5个区域、约465.59m²，不能与118.69m²住宅共用未校准的规模假设。</x:v>
      </x:c>
      <x:c r="P11" s="24" t="str">
        <x:v>465.59 m²是标签面积；需先有可通行路径和分层预算，再归大场景压力集。</x:v>
      </x:c>
      <x:c r="Q11" s="24" t="str">
        <x:v>大空间／高成本</x:v>
      </x:c>
      <x:c r="R11" s="24" t="n">
        <x:v>465.59</x:v>
      </x:c>
      <x:c r="S11" s="24"/>
      <x:c r="T11" s="24" t="str">
        <x:v>已有候选YAML；完整物理执行未认证</x:v>
      </x:c>
      <x:c r="U11" s="24" t="str">
        <x:v>https://github.com/XuanCheg/Show-Harness-Explore/blob/33bada4bb278471b7a925cd8ddfa3d46a19f52fb/explore_to_achieve/tasks/Cognitive%20Mapping/Connectivity/school_geography/full_scene/corev2__category_5296997426a116135b7c80aa.yaml</x:v>
      </x:c>
    </x:row>
    <x:row r="12" ht="54" customHeight="1">
      <x:c r="A12" s="24" t="str">
        <x:v>T07</x:v>
      </x:c>
      <x:c r="B12" s="24" t="str">
        <x:v>category_bb85ad2d7d19a7fdde23a2a0</x:v>
      </x:c>
      <x:c r="C12" s="24" t="str">
        <x:v>CoreV2 retained</x:v>
      </x:c>
      <x:c r="D12" s="24" t="str">
        <x:v>NT</x:v>
      </x:c>
      <x:c r="E12" s="24" t="str">
        <x:v>NT-2</x:v>
      </x:c>
      <x:c r="F12" s="24" t="str">
        <x:v>Ordered Multi-region Navigation</x:v>
      </x:c>
      <x:c r="G12" s="26" t="str">
        <x:v>R1</x:v>
      </x:c>
      <x:c r="H12" s="24" t="str">
        <x:v>V1-修复后</x:v>
      </x:c>
      <x:c r="I12" s="24" t="str">
        <x:v>Cognitive Mapping</x:v>
      </x:c>
      <x:c r="J12" s="24" t="str">
        <x:v>Long-Term Navigation</x:v>
      </x:c>
      <x:c r="K12" s="24" t="str">
        <x:v>Beechwood_0_int</x:v>
      </x:c>
      <x:c r="L12" s="24" t="str">
        <x:v>full_scene</x:v>
      </x:c>
      <x:c r="M12" s="24"/>
      <x:c r="N12" s="24" t="str">
        <x:v>6 个给定房间目标；物体总数待测</x:v>
      </x:c>
      <x:c r="O12" s="24" t="str">
        <x:v>给定6房间顺序，不是从问题推断路线；源路径11.361m而非真实R1路线。storage_room_1标签面积仅1.831m²，需检查机器人能否真实进入、稳定停留及必要撤出。</x:v>
      </x:c>
      <x:c r="P12" s="24" t="str">
        <x:v>6房但短路径；优先验证1.831 m² storage_room_1能进出，不声称顺序推断。</x:v>
      </x:c>
      <x:c r="Q12" s="24" t="str">
        <x:v>多区域／中程</x:v>
      </x:c>
      <x:c r="R12" s="24" t="n">
        <x:v>128.1</x:v>
      </x:c>
      <x:c r="S12" s="24" t="n">
        <x:v>11.361</x:v>
      </x:c>
      <x:c r="T12" s="24" t="str">
        <x:v>已有候选YAML；完整物理执行未认证</x:v>
      </x:c>
      <x:c r="U12" s="24" t="str">
        <x:v>https://github.com/XuanCheg/Show-Harness-Explore/blob/33bada4bb278471b7a925cd8ddfa3d46a19f52fb/explore_to_achieve/tasks/Cognitive%20Mapping/Long-Term%20Navigation/Beechwood_0_int/full_scene/corev2__category_bb85ad2d7d19a7fdde23a2a0.yaml</x:v>
      </x:c>
    </x:row>
    <x:row r="13" ht="54" customHeight="1">
      <x:c r="A13" s="24" t="str">
        <x:v>T08</x:v>
      </x:c>
      <x:c r="B13" s="24" t="str">
        <x:v>category_062d036de1fac0297a84732f</x:v>
      </x:c>
      <x:c r="C13" s="24" t="str">
        <x:v>CoreV2 retained</x:v>
      </x:c>
      <x:c r="D13" s="24" t="str">
        <x:v>NT</x:v>
      </x:c>
      <x:c r="E13" s="24" t="str">
        <x:v>NT-2</x:v>
      </x:c>
      <x:c r="F13" s="24" t="str">
        <x:v>Ordered Multi-region Navigation</x:v>
      </x:c>
      <x:c r="G13" s="26" t="str">
        <x:v>R1</x:v>
      </x:c>
      <x:c r="H13" s="24" t="str">
        <x:v>V2-储备</x:v>
      </x:c>
      <x:c r="I13" s="24" t="str">
        <x:v>Cognitive Mapping</x:v>
      </x:c>
      <x:c r="J13" s="24" t="str">
        <x:v>Long-Term Navigation</x:v>
      </x:c>
      <x:c r="K13" s="24" t="str">
        <x:v>office_cubicles_left</x:v>
      </x:c>
      <x:c r="L13" s="24" t="str">
        <x:v>full_scene</x:v>
      </x:c>
      <x:c r="M13" s="24"/>
      <x:c r="N13" s="24" t="str">
        <x:v>4 个给定房间目标；物体总数待测</x:v>
      </x:c>
      <x:c r="O13" s="24" t="str">
        <x:v>给定4房间顺序，但源路径43.831m约为6房间住宅任务的3.86倍；完整办公室13标签区域约782.35m²。房间个数不足以代表任务负担。</x:v>
      </x:c>
      <x:c r="P13" s="24" t="str">
        <x:v>43.831m源路长和782.35m²标签面积，放V2大规模导航；不能使用未校准415步同主赛道比较。</x:v>
      </x:c>
      <x:c r="Q13" s="24" t="str">
        <x:v>大空间／高成本</x:v>
      </x:c>
      <x:c r="R13" s="24" t="n">
        <x:v>782.35</x:v>
      </x:c>
      <x:c r="S13" s="24" t="n">
        <x:v>43.831</x:v>
      </x:c>
      <x:c r="T13" s="24" t="str">
        <x:v>已有候选YAML；完整物理执行未认证</x:v>
      </x:c>
      <x:c r="U13" s="24" t="str">
        <x:v>https://github.com/XuanCheg/Show-Harness-Explore/blob/33bada4bb278471b7a925cd8ddfa3d46a19f52fb/explore_to_achieve/tasks/Cognitive%20Mapping/Long-Term%20Navigation/office_cubicles_left/full_scene/corev2__category_062d036de1fac0297a84732f.yaml</x:v>
      </x:c>
    </x:row>
    <x:row r="14" ht="54" customHeight="1">
      <x:c r="A14" s="24" t="str">
        <x:v>T09</x:v>
      </x:c>
      <x:c r="B14" s="24" t="str">
        <x:v>category_6f23dae3a5a0c6b26db61a50</x:v>
      </x:c>
      <x:c r="C14" s="24" t="str">
        <x:v>CoreV2 retained</x:v>
      </x:c>
      <x:c r="D14" s="24" t="str">
        <x:v>NT</x:v>
      </x:c>
      <x:c r="E14" s="24" t="str">
        <x:v>NT-3</x:v>
      </x:c>
      <x:c r="F14" s="24" t="str">
        <x:v>Semantic Region Grounding</x:v>
      </x:c>
      <x:c r="G14" s="32" t="str">
        <x:v>R2</x:v>
      </x:c>
      <x:c r="H14" s="24" t="str">
        <x:v>V1-对照</x:v>
      </x:c>
      <x:c r="I14" s="24" t="str">
        <x:v>Cognitive Mapping</x:v>
      </x:c>
      <x:c r="J14" s="24" t="str">
        <x:v>Regional Boundary</x:v>
      </x:c>
      <x:c r="K14" s="24" t="str">
        <x:v>restaurant_cafeteria</x:v>
      </x:c>
      <x:c r="L14" s="24" t="str">
        <x:v>full_scene</x:v>
      </x:c>
      <x:c r="M14" s="24"/>
      <x:c r="N14" s="24" t="str">
        <x:v>1 个固定查询锚点；原生背景对象总数待测</x:v>
      </x:c>
      <x:c r="O14" s="24" t="str">
        <x:v>1个高处固定锚点chandelier、3个区域选项；按观察+答案评估，无需抓取。场景扩大不自动增加关系推理；高处锚点必须在实际输入中可辨认。</x:v>
      </x:c>
      <x:c r="P14" s="24" t="str">
        <x:v>去除文本泄露并把实际区域到达列为主要物理指标；保留原QA辅助评分。锚点定位与物理到访可计分；若仅输出答案则列为Spatial QA对照而非世界状态改造任务。</x:v>
      </x:c>
      <x:c r="Q14" s="24" t="str">
        <x:v>跨区域／锚点</x:v>
      </x:c>
      <x:c r="R14" s="24"/>
      <x:c r="S14" s="24"/>
      <x:c r="T14" s="24" t="str">
        <x:v>已有候选YAML；完整物理执行未认证</x:v>
      </x:c>
      <x:c r="U14" s="24" t="str">
        <x:v>https://github.com/XuanCheg/Show-Harness-Explore/blob/33bada4bb278471b7a925cd8ddfa3d46a19f52fb/explore_to_achieve/tasks/Cognitive%20Mapping/Regional%20Boundary/restaurant_cafeteria/full_scene/corev2__category_6f23dae3a5a0c6b26db61a50.yaml</x:v>
      </x:c>
    </x:row>
    <x:row r="15" ht="54" customHeight="1">
      <x:c r="A15" s="24" t="str">
        <x:v>T10</x:v>
      </x:c>
      <x:c r="B15" s="24" t="str">
        <x:v>category_2f46a8c2898ca9d05d6ac045</x:v>
      </x:c>
      <x:c r="C15" s="24" t="str">
        <x:v>CoreV2 retained</x:v>
      </x:c>
      <x:c r="D15" s="24" t="str">
        <x:v>NT</x:v>
      </x:c>
      <x:c r="E15" s="24" t="str">
        <x:v>NT-3</x:v>
      </x:c>
      <x:c r="F15" s="24" t="str">
        <x:v>Semantic Region Grounding</x:v>
      </x:c>
      <x:c r="G15" s="32" t="str">
        <x:v>R2</x:v>
      </x:c>
      <x:c r="H15" s="24" t="str">
        <x:v>合并/替换</x:v>
      </x:c>
      <x:c r="I15" s="24" t="str">
        <x:v>Cognitive Mapping</x:v>
      </x:c>
      <x:c r="J15" s="24" t="str">
        <x:v>Regional Boundary</x:v>
      </x:c>
      <x:c r="K15" s="24" t="str">
        <x:v>restaurant_cafeteria</x:v>
      </x:c>
      <x:c r="L15" s="24" t="str">
        <x:v>full_scene</x:v>
      </x:c>
      <x:c r="M15" s="24"/>
      <x:c r="N15" s="24" t="str">
        <x:v>2 个固定查询锚点；原生背景对象总数待测</x:v>
      </x:c>
      <x:c r="O15" s="24" t="str">
        <x:v>2个固定锚点top_cabinet/commercial_kitchen_table，同区域问题；与前项同restaurant_cafeteria full_scene，split必须按建筑分组。</x:v>
      </x:c>
      <x:c r="P15" s="24" t="str">
        <x:v>去除文本泄露并把实际区域到达列为主要物理指标；保留原QA辅助评分。与T09同建筑/同full_scene，可做同一诊断组2种锚点，不计算新增空间家族。</x:v>
      </x:c>
      <x:c r="Q15" s="24" t="str">
        <x:v>跨区域／锚点</x:v>
      </x:c>
      <x:c r="R15" s="24"/>
      <x:c r="S15" s="24"/>
      <x:c r="T15" s="24" t="str">
        <x:v>已有候选YAML；完整物理执行未认证</x:v>
      </x:c>
      <x:c r="U15" s="24" t="str">
        <x:v>https://github.com/XuanCheg/Show-Harness-Explore/blob/33bada4bb278471b7a925cd8ddfa3d46a19f52fb/explore_to_achieve/tasks/Cognitive%20Mapping/Regional%20Boundary/restaurant_cafeteria/full_scene/corev2__category_2f46a8c2898ca9d05d6ac045.yaml</x:v>
      </x:c>
    </x:row>
    <x:row r="16" ht="54" customHeight="1">
      <x:c r="A16" s="24" t="str">
        <x:v>T11</x:v>
      </x:c>
      <x:c r="B16" s="24" t="str">
        <x:v>category_1a55282aea78514f749fe4e0</x:v>
      </x:c>
      <x:c r="C16" s="24" t="str">
        <x:v>CoreV2 retained</x:v>
      </x:c>
      <x:c r="D16" s="24" t="str">
        <x:v>NT</x:v>
      </x:c>
      <x:c r="E16" s="24" t="str">
        <x:v>NT-3</x:v>
      </x:c>
      <x:c r="F16" s="24" t="str">
        <x:v>Semantic Region Grounding</x:v>
      </x:c>
      <x:c r="G16" s="32" t="str">
        <x:v>R2</x:v>
      </x:c>
      <x:c r="H16" s="24" t="str">
        <x:v>V1-修复后</x:v>
      </x:c>
      <x:c r="I16" s="24" t="str">
        <x:v>Cognitive Mapping</x:v>
      </x:c>
      <x:c r="J16" s="24" t="str">
        <x:v>Regional Boundary</x:v>
      </x:c>
      <x:c r="K16" s="24" t="str">
        <x:v>school_gym</x:v>
      </x:c>
      <x:c r="L16" s="24" t="str">
        <x:v>full_scene</x:v>
      </x:c>
      <x:c r="M16" s="24"/>
      <x:c r="N16" s="24" t="str">
        <x:v>1 个固定查询锚点；原生背景对象总数待测</x:v>
      </x:c>
      <x:c r="O16" s="24" t="str">
        <x:v>问题问paper_towel_dispenser属于哪个房间，但正确选项locker room 1的描述直接写with paper towel dispenser，存在明确词面捷径；应换与查询对象无关的房间描述或增加同类锚点以消除直接包含答案的线索。</x:v>
      </x:c>
      <x:c r="P16" s="24" t="str">
        <x:v>去除文本泄露并把实际区域到达列为主要物理指标；保留原QA辅助评分。公开选项直接包含paper_towel_dispenser答案，必须删除词面捷径再跑。</x:v>
      </x:c>
      <x:c r="Q16" s="24" t="str">
        <x:v>跨区域／锚点</x:v>
      </x:c>
      <x:c r="R16" s="24"/>
      <x:c r="S16" s="24"/>
      <x:c r="T16" s="24" t="str">
        <x:v>已有候选YAML；完整物理执行未认证</x:v>
      </x:c>
      <x:c r="U16" s="24" t="str">
        <x:v>https://github.com/XuanCheg/Show-Harness-Explore/blob/33bada4bb278471b7a925cd8ddfa3d46a19f52fb/explore_to_achieve/tasks/Cognitive%20Mapping/Regional%20Boundary/school_gym/full_scene/corev2__category_1a55282aea78514f749fe4e0.yaml</x:v>
      </x:c>
    </x:row>
    <x:row r="17" ht="54" customHeight="1">
      <x:c r="A17" s="24" t="str">
        <x:v>T15</x:v>
      </x:c>
      <x:c r="B17" s="24" t="str">
        <x:v>category_a819197786bd511068cee095</x:v>
      </x:c>
      <x:c r="C17" s="24" t="str">
        <x:v>CoreV2 retained</x:v>
      </x:c>
      <x:c r="D17" s="24" t="str">
        <x:v>GG</x:v>
      </x:c>
      <x:c r="E17" s="24" t="str">
        <x:v>GG-4</x:v>
      </x:c>
      <x:c r="F17" s="24" t="str">
        <x:v>Appearance-conditioned Object Handling</x:v>
      </x:c>
      <x:c r="G17" s="32" t="str">
        <x:v>R2</x:v>
      </x:c>
      <x:c r="H17" s="24" t="str">
        <x:v>合并/替换</x:v>
      </x:c>
      <x:c r="I17" s="24" t="str">
        <x:v>Perceptual Grounding</x:v>
      </x:c>
      <x:c r="J17" s="24" t="str">
        <x:v>Material Transparency</x:v>
      </x:c>
      <x:c r="K17" s="24" t="str">
        <x:v>Beechwood_0_garden</x:v>
      </x:c>
      <x:c r="L17" s="24" t="str">
        <x:v>dining_room_0</x:v>
      </x:c>
      <x:c r="M17" s="24" t="n">
        <x:v>1</x:v>
      </x:c>
      <x:c r="N17" s="24" t="str">
        <x:v>2 个去重相关物体：cleansing_bottle、cherry_tomato</x:v>
      </x:c>
      <x:c r="O17" s="24" t="str">
        <x:v>当前 native AABB 显示 cherry_tomato 与 cleansing_bottle 沿 y 相隔约 7.6 mm，支持初态在瓶外，不能视为已在内部的 no-op。瓶身外包围盒约 8.7 cm 宽、番茄约 4.2 cm 宽；瓶口净宽和持物夹爪入口路径均未验证，不能由瓶身宽推断能插入。</x:v>
      </x:c>
      <x:c r="P17" s="24" t="str">
        <x:v>先筛选真实可通过的容器开口与夹爪退手路径，再实施透明/不透明或内外条件对照。番茄→cleansing_bottle的瓶口可通过性未证；换为可验证宽口透明容器并设置透明/不透明对照。</x:v>
      </x:c>
      <x:c r="Q17" s="24" t="str">
        <x:v>局部工作区／尺寸待测</x:v>
      </x:c>
      <x:c r="R17" s="24"/>
      <x:c r="S17" s="24"/>
      <x:c r="T17" s="24" t="str">
        <x:v>已有候选YAML；完整物理执行未认证</x:v>
      </x:c>
      <x:c r="U17" s="24" t="str">
        <x:v>https://github.com/XuanCheg/Show-Harness-Explore/blob/33bada4bb278471b7a925cd8ddfa3d46a19f52fb/explore_to_achieve/tasks/Perceptual%20Grounding/Material%20Transparency/Beechwood_0_garden/dining_room_0/corev2__category_a819197786bd511068cee095.yaml</x:v>
      </x:c>
    </x:row>
    <x:row r="18" ht="54" customHeight="1">
      <x:c r="A18" s="24" t="str">
        <x:v>T16</x:v>
      </x:c>
      <x:c r="B18" s="24" t="str">
        <x:v>category_54f951b6a29855a51844da54</x:v>
      </x:c>
      <x:c r="C18" s="24" t="str">
        <x:v>CoreV2 retained</x:v>
      </x:c>
      <x:c r="D18" s="24" t="str">
        <x:v>GG</x:v>
      </x:c>
      <x:c r="E18" s="24" t="str">
        <x:v>GG-4</x:v>
      </x:c>
      <x:c r="F18" s="24" t="str">
        <x:v>Appearance-conditioned Object Handling</x:v>
      </x:c>
      <x:c r="G18" s="32" t="str">
        <x:v>R2</x:v>
      </x:c>
      <x:c r="H18" s="24" t="str">
        <x:v>V2-储备</x:v>
      </x:c>
      <x:c r="I18" s="24" t="str">
        <x:v>Perceptual Grounding</x:v>
      </x:c>
      <x:c r="J18" s="24" t="str">
        <x:v>Material Transparency</x:v>
      </x:c>
      <x:c r="K18" s="24" t="str">
        <x:v>restaurant_hotel</x:v>
      </x:c>
      <x:c r="L18" s="24" t="str">
        <x:v>lobby_0</x:v>
      </x:c>
      <x:c r="M18" s="24" t="n">
        <x:v>1</x:v>
      </x:c>
      <x:c r="N18" s="24" t="str">
        <x:v>2 个去重相关物体：round_bottom_flask、dice</x:v>
      </x:c>
      <x:c r="O18" s="24" t="str">
        <x:v>烧瓶颈口可能比瓶身小得多；dice 的可通过对角线与夹爪退手空间未知。圆底烧瓶本身的支撑稳定性也会影响插入；未读取该项 current native receipt，不能断言初态 inside 或 outside。</x:v>
      </x:c>
      <x:c r="P18" s="24" t="str">
        <x:v>先筛选真实可通过的容器开口与夹爪退手路径，再实施透明/不透明或内外条件对照。烧瓶瓶颈与骰子+夹指净空间未知；若初态已Inside只做验证对照。</x:v>
      </x:c>
      <x:c r="Q18" s="24" t="str">
        <x:v>局部工作区／尺寸待测</x:v>
      </x:c>
      <x:c r="R18" s="24"/>
      <x:c r="S18" s="24"/>
      <x:c r="T18" s="24" t="str">
        <x:v>已有候选YAML；完整物理执行未认证</x:v>
      </x:c>
      <x:c r="U18" s="24" t="str">
        <x:v>https://github.com/XuanCheg/Show-Harness-Explore/blob/33bada4bb278471b7a925cd8ddfa3d46a19f52fb/explore_to_achieve/tasks/Perceptual%20Grounding/Material%20Transparency/restaurant_hotel/lobby_0/corev2__category_54f951b6a29855a51844da54.yaml</x:v>
      </x:c>
    </x:row>
    <x:row r="19" ht="54" customHeight="1">
      <x:c r="A19" s="24" t="str">
        <x:v>T17</x:v>
      </x:c>
      <x:c r="B19" s="24" t="str">
        <x:v>category_720f0847910173edaef41d45</x:v>
      </x:c>
      <x:c r="C19" s="24" t="str">
        <x:v>CoreV2 retained</x:v>
      </x:c>
      <x:c r="D19" s="24" t="str">
        <x:v>GG</x:v>
      </x:c>
      <x:c r="E19" s="24" t="str">
        <x:v>GG-4</x:v>
      </x:c>
      <x:c r="F19" s="24" t="str">
        <x:v>Appearance-conditioned Object Handling</x:v>
      </x:c>
      <x:c r="G19" s="32" t="str">
        <x:v>R2</x:v>
      </x:c>
      <x:c r="H19" s="24" t="str">
        <x:v>V2-储备</x:v>
      </x:c>
      <x:c r="I19" s="24" t="str">
        <x:v>Perceptual Grounding</x:v>
      </x:c>
      <x:c r="J19" s="24" t="str">
        <x:v>Material Transparency</x:v>
      </x:c>
      <x:c r="K19" s="24" t="str">
        <x:v>school_gym</x:v>
      </x:c>
      <x:c r="L19" s="24" t="str">
        <x:v>locker_room_1</x:v>
      </x:c>
      <x:c r="M19" s="24" t="n">
        <x:v>1</x:v>
      </x:c>
      <x:c r="N19" s="24" t="str">
        <x:v>2 个去重相关物体：solvent_bottle、dice</x:v>
      </x:c>
      <x:c r="O19" s="24" t="str">
        <x:v>溶剂瓶颈可能限制骰子通过，外部 AABB 不能说明入口。成组重定位保持相对几何不自动保证原始包含关系经过沉降仍成立；更衣间支撑边缘可能限制手部接近和撤回。</x:v>
      </x:c>
      <x:c r="P19" s="24" t="str">
        <x:v>先筛选真实可通过的容器开口与夹爪退手路径，再实施透明/不透明或内外条件对照。solvent_bottle 瓶颈可通过性与更衣间退手未证，等待物理轨迹。</x:v>
      </x:c>
      <x:c r="Q19" s="24" t="str">
        <x:v>局部工作区／尺寸待测</x:v>
      </x:c>
      <x:c r="R19" s="24"/>
      <x:c r="S19" s="24"/>
      <x:c r="T19" s="24" t="str">
        <x:v>已有候选YAML；完整物理执行未认证</x:v>
      </x:c>
      <x:c r="U19" s="24" t="str">
        <x:v>https://github.com/XuanCheg/Show-Harness-Explore/blob/33bada4bb278471b7a925cd8ddfa3d46a19f52fb/explore_to_achieve/tasks/Perceptual%20Grounding/Material%20Transparency/school_gym/locker_room_1/corev2__category_720f0847910173edaef41d45.yaml</x:v>
      </x:c>
    </x:row>
    <x:row r="20" ht="54" customHeight="1">
      <x:c r="A20" s="24" t="str">
        <x:v>T18</x:v>
      </x:c>
      <x:c r="B20" s="24" t="str">
        <x:v>category_6101117684a66f96ee6f4bef</x:v>
      </x:c>
      <x:c r="C20" s="24" t="str">
        <x:v>CoreV2 retained</x:v>
      </x:c>
      <x:c r="D20" s="24" t="str">
        <x:v>AP</x:v>
      </x:c>
      <x:c r="E20" s="24" t="str">
        <x:v>AP-2</x:v>
      </x:c>
      <x:c r="F20" s="24" t="str">
        <x:v>Stability-Constrained Construction</x:v>
      </x:c>
      <x:c r="G20" s="26" t="str">
        <x:v>R1</x:v>
      </x:c>
      <x:c r="H20" s="24" t="str">
        <x:v>V2-储备</x:v>
      </x:c>
      <x:c r="I20" s="24" t="str">
        <x:v>Physical Dynamics</x:v>
      </x:c>
      <x:c r="J20" s="24" t="str">
        <x:v>Stacking &amp; Stability</x:v>
      </x:c>
      <x:c r="K20" s="24" t="str">
        <x:v>Beechwood_0_garden</x:v>
      </x:c>
      <x:c r="L20" s="24" t="str">
        <x:v>dining_room_0</x:v>
      </x:c>
      <x:c r="M20" s="24" t="n">
        <x:v>3</x:v>
      </x:c>
      <x:c r="N20" s="24" t="str">
        <x:v>3 个去重相关物体：outline_tray、coffee_bean_jar、refried_beans_can</x:v>
      </x:c>
      <x:c r="O20" s="24" t="str">
        <x:v>source AABB：outline_tray 约 12.6×27.8×4.5 cm，coffee_bean_jar 与 refried_beans_can 均约 15.6×13.0×20.5 cm。后两者整体最小维约 13 cm；在夹爪口径约 10 cm 的系统中，不能假定常规整物侧夹可行。薄托盘的边缘与接触面也影响稳定堆叠。</x:v>
      </x:c>
      <x:c r="P20" s="24" t="str">
        <x:v>两罐整体最小尺寸约13cm而夹爪口约10cm；需要可执行合法抓取与稳定3层塔。</x:v>
      </x:c>
      <x:c r="Q20" s="24" t="str">
        <x:v>局部工作区／尺寸待测</x:v>
      </x:c>
      <x:c r="R20" s="24"/>
      <x:c r="S20" s="24"/>
      <x:c r="T20" s="24" t="str">
        <x:v>已有候选YAML；完整物理执行未认证</x:v>
      </x:c>
      <x:c r="U20" s="24" t="str">
        <x:v>https://github.com/XuanCheg/Show-Harness-Explore/blob/33bada4bb278471b7a925cd8ddfa3d46a19f52fb/explore_to_achieve/tasks/Physical%20Dynamics/Stacking%20%26%20Stability/Beechwood_0_garden/dining_room_0/corev2__category_6101117684a66f96ee6f4bef.yaml</x:v>
      </x:c>
    </x:row>
    <x:row r="21" ht="54" customHeight="1">
      <x:c r="A21" s="24" t="str">
        <x:v>T19</x:v>
      </x:c>
      <x:c r="B21" s="24" t="str">
        <x:v>category_4c36dd4dc5bbbe9bc7e787d1</x:v>
      </x:c>
      <x:c r="C21" s="24" t="str">
        <x:v>CoreV2 retained</x:v>
      </x:c>
      <x:c r="D21" s="24" t="str">
        <x:v>AP</x:v>
      </x:c>
      <x:c r="E21" s="24" t="str">
        <x:v>AP-2</x:v>
      </x:c>
      <x:c r="F21" s="24" t="str">
        <x:v>Stability-Constrained Construction</x:v>
      </x:c>
      <x:c r="G21" s="26" t="str">
        <x:v>R1</x:v>
      </x:c>
      <x:c r="H21" s="24" t="str">
        <x:v>V1-修复后</x:v>
      </x:c>
      <x:c r="I21" s="24" t="str">
        <x:v>Physical Dynamics</x:v>
      </x:c>
      <x:c r="J21" s="24" t="str">
        <x:v>Stacking &amp; Stability</x:v>
      </x:c>
      <x:c r="K21" s="24" t="str">
        <x:v>house_single_floor</x:v>
      </x:c>
      <x:c r="L21" s="24" t="str">
        <x:v>childs_room_0</x:v>
      </x:c>
      <x:c r="M21" s="24" t="n">
        <x:v>3</x:v>
      </x:c>
      <x:c r="N21" s="24" t="str">
        <x:v>3 个去重相关物体：paperback_book、bowl、lunch_box</x:v>
      </x:c>
      <x:c r="O21" s="24" t="str">
        <x:v>paperback_book 的 source AABB 厚度仅约 8 mm，平贴桌面时夹指入口可能不足；bowl 的弧面/碗沿与 lunch_box 的平面会使稳定接触顺序非平凡。独立支撑布局增加的移动负担应与塔推理解耦。</x:v>
      </x:c>
      <x:c r="P21" s="24" t="str">
        <x:v>薄书约8mm需开放书边夹指入口；完成碗/盒稳定支撑链。</x:v>
      </x:c>
      <x:c r="Q21" s="24" t="str">
        <x:v>局部工作区／尺寸待测</x:v>
      </x:c>
      <x:c r="R21" s="24"/>
      <x:c r="S21" s="24"/>
      <x:c r="T21" s="24" t="str">
        <x:v>已有候选YAML；完整物理执行未认证</x:v>
      </x:c>
      <x:c r="U21" s="24" t="str">
        <x:v>https://github.com/XuanCheg/Show-Harness-Explore/blob/33bada4bb278471b7a925cd8ddfa3d46a19f52fb/explore_to_achieve/tasks/Physical%20Dynamics/Stacking%20%26%20Stability/house_single_floor/childs_room_0/corev2__category_4c36dd4dc5bbbe9bc7e787d1.yaml</x:v>
      </x:c>
    </x:row>
    <x:row r="22" ht="54" customHeight="1">
      <x:c r="A22" s="24" t="str">
        <x:v>T20</x:v>
      </x:c>
      <x:c r="B22" s="24" t="str">
        <x:v>category_32485510e87a6ad8f32178d7</x:v>
      </x:c>
      <x:c r="C22" s="24" t="str">
        <x:v>CoreV2 retained</x:v>
      </x:c>
      <x:c r="D22" s="24" t="str">
        <x:v>AP</x:v>
      </x:c>
      <x:c r="E22" s="24" t="str">
        <x:v>AP-2</x:v>
      </x:c>
      <x:c r="F22" s="24" t="str">
        <x:v>Stability-Constrained Construction</x:v>
      </x:c>
      <x:c r="G22" s="26" t="str">
        <x:v>R1</x:v>
      </x:c>
      <x:c r="H22" s="24" t="str">
        <x:v>V2-储备</x:v>
      </x:c>
      <x:c r="I22" s="24" t="str">
        <x:v>Physical Dynamics</x:v>
      </x:c>
      <x:c r="J22" s="24" t="str">
        <x:v>Stacking &amp; Stability</x:v>
      </x:c>
      <x:c r="K22" s="24" t="str">
        <x:v>office_cubicles_right</x:v>
      </x:c>
      <x:c r="L22" s="24" t="str">
        <x:v>lobby_0</x:v>
      </x:c>
      <x:c r="M22" s="24" t="n">
        <x:v>3</x:v>
      </x:c>
      <x:c r="N22" s="24" t="str">
        <x:v>3 个去重相关物体：can_of_tomatoes、mixing_bowl、tomato_sauce_jar</x:v>
      </x:c>
      <x:c r="O22" s="24" t="str">
        <x:v>source AABB：mixing_bowl 约 29.3×25.9×14.2 cm，tomato_sauce_jar 约 15.6×13.0×20.5 cm，均存在整体跨越 10 cm 夹爪宽度的筛查问题；can_of_tomatoes 约 8.5×8.5×11.8 cm 较小。碗沿局部抓取可能成立，尚不能仅按整体宽度淘汰。</x:v>
      </x:c>
      <x:c r="P22" s="24" t="str">
        <x:v>大碗29.3×25.9cm，罐约15.6×13cm，优先单独局部抓取诊断。</x:v>
      </x:c>
      <x:c r="Q22" s="24" t="str">
        <x:v>局部工作区／尺寸待测</x:v>
      </x:c>
      <x:c r="R22" s="24"/>
      <x:c r="S22" s="24"/>
      <x:c r="T22" s="24" t="str">
        <x:v>已有候选YAML；完整物理执行未认证</x:v>
      </x:c>
      <x:c r="U22" s="24" t="str">
        <x:v>https://github.com/XuanCheg/Show-Harness-Explore/blob/33bada4bb278471b7a925cd8ddfa3d46a19f52fb/explore_to_achieve/tasks/Physical%20Dynamics/Stacking%20%26%20Stability/office_cubicles_right/lobby_0/corev2__category_32485510e87a6ad8f32178d7.yaml</x:v>
      </x:c>
    </x:row>
    <x:row r="23" ht="54" customHeight="1">
      <x:c r="A23" s="24" t="str">
        <x:v>T21</x:v>
      </x:c>
      <x:c r="B23" s="24" t="str">
        <x:v>category_ff15948e066184024f87df96</x:v>
      </x:c>
      <x:c r="C23" s="24" t="str">
        <x:v>CoreV2 retained</x:v>
      </x:c>
      <x:c r="D23" s="24" t="str">
        <x:v>AP</x:v>
      </x:c>
      <x:c r="E23" s="24" t="str">
        <x:v>AP-2</x:v>
      </x:c>
      <x:c r="F23" s="24" t="str">
        <x:v>Stability-Constrained Construction</x:v>
      </x:c>
      <x:c r="G23" s="32" t="str">
        <x:v>R2</x:v>
      </x:c>
      <x:c r="H23" s="24" t="str">
        <x:v>合并/替换</x:v>
      </x:c>
      <x:c r="I23" s="24" t="str">
        <x:v>Physical Dynamics</x:v>
      </x:c>
      <x:c r="J23" s="24" t="str">
        <x:v>Stacking &amp; Stability</x:v>
      </x:c>
      <x:c r="K23" s="24" t="str">
        <x:v>restaurant_asian</x:v>
      </x:c>
      <x:c r="L23" s="24" t="str">
        <x:v>bathroom_0</x:v>
      </x:c>
      <x:c r="M23" s="24" t="n">
        <x:v>3</x:v>
      </x:c>
      <x:c r="N23" s="24" t="str">
        <x:v>3 个去重相关物体：chopping_board、shoe_box、box_of_cookies</x:v>
      </x:c>
      <x:c r="O23" s="24" t="str">
        <x:v>当前 native 不是一张共同工作台：桌面尺寸分别约 0.45×0.474、0.45×0.40、0.45×0.40 m，高均 0.5 m。浴室加三桌会引入跨桌搬运、底盘回转与夹爪接近负担；只证明桌脚落在地板上，不等于通路足够。</x:v>
      </x:c>
      <x:c r="P23" s="24" t="str">
        <x:v>浴室内三张45cm台桌引入非目标导航，替换为单个足够面积的合法工作站。</x:v>
      </x:c>
      <x:c r="Q23" s="24" t="str">
        <x:v>局部工作区／尺寸待测</x:v>
      </x:c>
      <x:c r="R23" s="24"/>
      <x:c r="S23" s="24"/>
      <x:c r="T23" s="24" t="str">
        <x:v>已有候选YAML；完整物理执行未认证</x:v>
      </x:c>
      <x:c r="U23" s="24" t="str">
        <x:v>https://github.com/XuanCheg/Show-Harness-Explore/blob/33bada4bb278471b7a925cd8ddfa3d46a19f52fb/explore_to_achieve/tasks/Physical%20Dynamics/Stacking%20%26%20Stability/restaurant_asian/bathroom_0/corev2__category_ff15948e066184024f87df96.yaml</x:v>
      </x:c>
    </x:row>
    <x:row r="24" ht="54" customHeight="1">
      <x:c r="A24" s="24" t="str">
        <x:v>T22</x:v>
      </x:c>
      <x:c r="B24" s="24" t="str">
        <x:v>category_e58c1c507e7cc7a429b80bd9</x:v>
      </x:c>
      <x:c r="C24" s="24" t="str">
        <x:v>CoreV2 retained</x:v>
      </x:c>
      <x:c r="D24" s="24" t="str">
        <x:v>GF</x:v>
      </x:c>
      <x:c r="E24" s="24" t="str">
        <x:v>GF-1</x:v>
      </x:c>
      <x:c r="F24" s="24" t="str">
        <x:v>Containment &amp; Affordance Selection</x:v>
      </x:c>
      <x:c r="G24" s="36" t="str">
        <x:v>R0</x:v>
      </x:c>
      <x:c r="H24" s="24" t="str">
        <x:v>V1-核心候选</x:v>
      </x:c>
      <x:c r="I24" s="24" t="str">
        <x:v>Physical Structure</x:v>
      </x:c>
      <x:c r="J24" s="24" t="str">
        <x:v>Rigid Containment</x:v>
      </x:c>
      <x:c r="K24" s="24" t="str">
        <x:v>Beechwood_0_int</x:v>
      </x:c>
      <x:c r="L24" s="24" t="str">
        <x:v>living_room_1</x:v>
      </x:c>
      <x:c r="M24" s="24" t="n">
        <x:v>1</x:v>
      </x:c>
      <x:c r="N24" s="24" t="str">
        <x:v>1 个目标 + 3 个候选容器</x:v>
      </x:c>
      <x:c r="O24" s="24" t="str">
        <x:v>1个gift_box目标、3个同类packing_box容器；目标到容器桌中心声明欧氏距离3.7697m。当前资格收据支持成立；目标整体AABB约24.5×18.5×28.5cm，不能用10cm夹爪开口直接包络，须验证局部可夹部位。</x:v>
      </x:c>
      <x:c r="P24" s="24" t="str">
        <x:v>已有人工布局审查，需优先验证礼盒局部可夹部位及3.77m运送链。</x:v>
      </x:c>
      <x:c r="Q24" s="24" t="str">
        <x:v>局部工作区／尺寸待测</x:v>
      </x:c>
      <x:c r="R24" s="24"/>
      <x:c r="S24" s="24"/>
      <x:c r="T24" s="24" t="str">
        <x:v>已有布局人工审查；物理动作未完整认证</x:v>
      </x:c>
      <x:c r="U24" s="24" t="str">
        <x:v>https://github.com/XuanCheg/Show-Harness-Explore/blob/33bada4bb278471b7a925cd8ddfa3d46a19f52fb/explore_to_achieve/tasks/Physical%20Structure/Rigid%20Containment/Beechwood_0_int/living_room_1/Beechwood_0_int_scene_dict_storage2_0_revised.yaml</x:v>
      </x:c>
    </x:row>
    <x:row r="25" ht="54" customHeight="1">
      <x:c r="A25" s="24" t="str">
        <x:v>T23</x:v>
      </x:c>
      <x:c r="B25" s="24" t="str">
        <x:v>category_8644156dec67b0eaddf1472a</x:v>
      </x:c>
      <x:c r="C25" s="24" t="str">
        <x:v>CoreV2 retained</x:v>
      </x:c>
      <x:c r="D25" s="24" t="str">
        <x:v>GF</x:v>
      </x:c>
      <x:c r="E25" s="24" t="str">
        <x:v>GF-1</x:v>
      </x:c>
      <x:c r="F25" s="24" t="str">
        <x:v>Containment &amp; Affordance Selection</x:v>
      </x:c>
      <x:c r="G25" s="36" t="str">
        <x:v>R0</x:v>
      </x:c>
      <x:c r="H25" s="24" t="str">
        <x:v>V1-核心候选</x:v>
      </x:c>
      <x:c r="I25" s="24" t="str">
        <x:v>Physical Structure</x:v>
      </x:c>
      <x:c r="J25" s="24" t="str">
        <x:v>Rigid Containment</x:v>
      </x:c>
      <x:c r="K25" s="24" t="str">
        <x:v>Beechwood_1_int</x:v>
      </x:c>
      <x:c r="L25" s="24" t="str">
        <x:v>television_room_0</x:v>
      </x:c>
      <x:c r="M25" s="24" t="n">
        <x:v>3</x:v>
      </x:c>
      <x:c r="N25" s="24" t="str">
        <x:v>3 个目标 + 3 个候选容器</x:v>
      </x:c>
      <x:c r="O25" s="24" t="str">
        <x:v>3个目标granola_box/spray_can/colored_pencil，3个容器bucket/wicker_basket/mug；目标到容器桌声明欧氏距离1.20–1.51m。允许验证后移除物体释放共享容器，评分不是要求所有目标永久同时在容器内。</x:v>
      </x:c>
      <x:c r="P25" s="24" t="str">
        <x:v>3目标3容器；评分口径是逐个成功插入、可移出，不要误报同时容纳。</x:v>
      </x:c>
      <x:c r="Q25" s="24" t="str">
        <x:v>局部工作区／尺寸待测</x:v>
      </x:c>
      <x:c r="R25" s="24"/>
      <x:c r="S25" s="24"/>
      <x:c r="T25" s="24" t="str">
        <x:v>已有布局人工审查；物理动作未完整认证</x:v>
      </x:c>
      <x:c r="U25" s="24" t="str">
        <x:v>https://github.com/XuanCheg/Show-Harness-Explore/blob/33bada4bb278471b7a925cd8ddfa3d46a19f52fb/explore_to_achieve/tasks/Physical%20Structure/Rigid%20Containment/Beechwood_1_int/television_room_0/Beechwood_1_int_scene_dict_storage2_1_revised__criterion_4.yaml</x:v>
      </x:c>
    </x:row>
    <x:row r="26" ht="54" customHeight="1">
      <x:c r="A26" s="24" t="str">
        <x:v>T24</x:v>
      </x:c>
      <x:c r="B26" s="24" t="str">
        <x:v>category_b1fffff9aef66e7517638538</x:v>
      </x:c>
      <x:c r="C26" s="24" t="str">
        <x:v>CoreV2 retained</x:v>
      </x:c>
      <x:c r="D26" s="24" t="str">
        <x:v>GF</x:v>
      </x:c>
      <x:c r="E26" s="24" t="str">
        <x:v>GF-1</x:v>
      </x:c>
      <x:c r="F26" s="24" t="str">
        <x:v>Containment &amp; Affordance Selection</x:v>
      </x:c>
      <x:c r="G26" s="36" t="str">
        <x:v>R0</x:v>
      </x:c>
      <x:c r="H26" s="24" t="str">
        <x:v>V1-核心候选</x:v>
      </x:c>
      <x:c r="I26" s="24" t="str">
        <x:v>Physical Structure</x:v>
      </x:c>
      <x:c r="J26" s="24" t="str">
        <x:v>Rigid Containment</x:v>
      </x:c>
      <x:c r="K26" s="24" t="str">
        <x:v>Ihlen_1_int</x:v>
      </x:c>
      <x:c r="L26" s="24" t="str">
        <x:v>living_room_0</x:v>
      </x:c>
      <x:c r="M26" s="24" t="n">
        <x:v>1</x:v>
      </x:c>
      <x:c r="N26" s="24" t="str">
        <x:v>1 个目标 + 3 个候选容器</x:v>
      </x:c>
      <x:c r="O26" s="24" t="str">
        <x:v>1个first_aid_kit、3个容器tote/packing_box/mug；声明欧氏距离0.9617m，不是真实运输距离。需检查first_aid_kit的可夹边/把手、容器开口及手部撤出。</x:v>
      </x:c>
      <x:c r="P26" s="24" t="str">
        <x:v>最短0.96m端点距离便于低成本执行；仍需first_aid_kit合法抓取与入口。</x:v>
      </x:c>
      <x:c r="Q26" s="24" t="str">
        <x:v>局部工作区／尺寸待测</x:v>
      </x:c>
      <x:c r="R26" s="24"/>
      <x:c r="S26" s="24"/>
      <x:c r="T26" s="24" t="str">
        <x:v>已有布局人工审查；物理动作未完整认证</x:v>
      </x:c>
      <x:c r="U26" s="24" t="str">
        <x:v>https://github.com/XuanCheg/Show-Harness-Explore/blob/33bada4bb278471b7a925cd8ddfa3d46a19f52fb/explore_to_achieve/tasks/Physical%20Structure/Rigid%20Containment/Ihlen_1_int/living_room_0/Ihlen_1_int_scene_dict_storage2_1_revised.yaml</x:v>
      </x:c>
    </x:row>
    <x:row r="27" ht="54" customHeight="1">
      <x:c r="A27" s="24" t="str">
        <x:v>T25</x:v>
      </x:c>
      <x:c r="B27" s="24" t="str">
        <x:v>category_654f8bfa37612193a879dd59</x:v>
      </x:c>
      <x:c r="C27" s="24" t="str">
        <x:v>CoreV2 retained</x:v>
      </x:c>
      <x:c r="D27" s="24" t="str">
        <x:v>GF</x:v>
      </x:c>
      <x:c r="E27" s="24" t="str">
        <x:v>GF-1</x:v>
      </x:c>
      <x:c r="F27" s="24" t="str">
        <x:v>Containment &amp; Affordance Selection</x:v>
      </x:c>
      <x:c r="G27" s="36" t="str">
        <x:v>R0</x:v>
      </x:c>
      <x:c r="H27" s="24" t="str">
        <x:v>V1-核心候选</x:v>
      </x:c>
      <x:c r="I27" s="24" t="str">
        <x:v>Physical Structure</x:v>
      </x:c>
      <x:c r="J27" s="24" t="str">
        <x:v>Rigid Containment</x:v>
      </x:c>
      <x:c r="K27" s="24" t="str">
        <x:v>hall_arch_wood</x:v>
      </x:c>
      <x:c r="L27" s="24" t="str">
        <x:v>empty_room_0</x:v>
      </x:c>
      <x:c r="M27" s="24" t="n">
        <x:v>1</x:v>
      </x:c>
      <x:c r="N27" s="24" t="str">
        <x:v>1 个目标 + 3 个候选容器</x:v>
      </x:c>
      <x:c r="O27" s="24" t="str">
        <x:v>1个banana、3个容器wicker_basket/tupperware/bowl，声明欧氏距离3.2304m。当前柱体修复资格收据支持稳定、robot_nonfloor_contacts=[]、furniture_aabb_overlap_candidates=[]；不要把旧柱体问题重复当现状。</x:v>
      </x:c>
      <x:c r="P27" s="24" t="str">
        <x:v>已有布局修复证据，验证香蕉和容器的真实抓取/释放，路径非欧距。</x:v>
      </x:c>
      <x:c r="Q27" s="24" t="str">
        <x:v>局部工作区／尺寸待测</x:v>
      </x:c>
      <x:c r="R27" s="24"/>
      <x:c r="S27" s="24"/>
      <x:c r="T27" s="24" t="str">
        <x:v>已有布局人工审查；物理动作未完整认证</x:v>
      </x:c>
      <x:c r="U27" s="24" t="str">
        <x:v>https://github.com/XuanCheg/Show-Harness-Explore/blob/33bada4bb278471b7a925cd8ddfa3d46a19f52fb/explore_to_achieve/tasks/Physical%20Structure/Rigid%20Containment/hall_arch_wood/empty_room_0/corev2__category_654f8bfa37612193a879dd59__pillar_repair.yaml</x:v>
      </x:c>
    </x:row>
    <x:row r="28" ht="54" customHeight="1">
      <x:c r="A28" s="24" t="str">
        <x:v>T26</x:v>
      </x:c>
      <x:c r="B28" s="24" t="str">
        <x:v>category_bdb79bcc5beee90cfb942a32</x:v>
      </x:c>
      <x:c r="C28" s="24" t="str">
        <x:v>CoreV2 retained</x:v>
      </x:c>
      <x:c r="D28" s="24" t="str">
        <x:v>SR</x:v>
      </x:c>
      <x:c r="E28" s="24" t="str">
        <x:v>SR-1</x:v>
      </x:c>
      <x:c r="F28" s="24" t="str">
        <x:v>Geometric Arrangement &amp; Alignment</x:v>
      </x:c>
      <x:c r="G28" s="36" t="str">
        <x:v>R0</x:v>
      </x:c>
      <x:c r="H28" s="24" t="str">
        <x:v>V1-核心候选</x:v>
      </x:c>
      <x:c r="I28" s="24" t="str">
        <x:v>Spatial Relations</x:v>
      </x:c>
      <x:c r="J28" s="24" t="str">
        <x:v>Geometric Configuration</x:v>
      </x:c>
      <x:c r="K28" s="24" t="str">
        <x:v>Beechwood_0_garden</x:v>
      </x:c>
      <x:c r="L28" s="24" t="str">
        <x:v>utility_room_0</x:v>
      </x:c>
      <x:c r="M28" s="24" t="n">
        <x:v>3</x:v>
      </x:c>
      <x:c r="N28" s="24" t="str">
        <x:v>3 个去重相关物体：lime_juice_bottle、bottle_of_vinegar、jar_of_jam</x:v>
      </x:c>
      <x:c r="O28" s="24" t="str">
        <x:v>三个参与物体是 lime_juice_bottle、bottle_of_vinegar、jar_of_jam；source 位置范围约 0.519×0.449 m，但这是历史布局而非当前可操作桌面。随机非目标初态要求真实移动，桌边/墙面必须为全部顶点留下余量。</x:v>
      </x:c>
      <x:c r="P28" s="24" t="str">
        <x:v>局部0.519×0.449m历史包络不等于当前有效工作台；保留真正重排。</x:v>
      </x:c>
      <x:c r="Q28" s="24" t="str">
        <x:v>局部工作区／尺寸待测</x:v>
      </x:c>
      <x:c r="R28" s="24"/>
      <x:c r="S28" s="24"/>
      <x:c r="T28" s="24" t="str">
        <x:v>已有候选YAML；完整物理执行未认证</x:v>
      </x:c>
      <x:c r="U28" s="24" t="str">
        <x:v>https://github.com/XuanCheg/Show-Harness-Explore/blob/33bada4bb278471b7a925cd8ddfa3d46a19f52fb/explore_to_achieve/tasks/Spatial%20Relations/Geometric%20Configuration/Beechwood_0_garden/utility_room_0/corev2__category_bdb79bcc5beee90cfb942a32.yaml</x:v>
      </x:c>
    </x:row>
    <x:row r="29" ht="54" customHeight="1">
      <x:c r="A29" s="24" t="str">
        <x:v>T27</x:v>
      </x:c>
      <x:c r="B29" s="24" t="str">
        <x:v>category_abfc72cb2d4b9fb983221f89</x:v>
      </x:c>
      <x:c r="C29" s="24" t="str">
        <x:v>CoreV2 retained</x:v>
      </x:c>
      <x:c r="D29" s="24" t="str">
        <x:v>SR</x:v>
      </x:c>
      <x:c r="E29" s="24" t="str">
        <x:v>SR-1</x:v>
      </x:c>
      <x:c r="F29" s="24" t="str">
        <x:v>Geometric Arrangement &amp; Alignment</x:v>
      </x:c>
      <x:c r="G29" s="36" t="str">
        <x:v>R0</x:v>
      </x:c>
      <x:c r="H29" s="24" t="str">
        <x:v>V1-核心候选</x:v>
      </x:c>
      <x:c r="I29" s="24" t="str">
        <x:v>Spatial Relations</x:v>
      </x:c>
      <x:c r="J29" s="24" t="str">
        <x:v>Geometric Configuration</x:v>
      </x:c>
      <x:c r="K29" s="24" t="str">
        <x:v>Beechwood_0_garden</x:v>
      </x:c>
      <x:c r="L29" s="24" t="str">
        <x:v>garden_0</x:v>
      </x:c>
      <x:c r="M29" s="24" t="n">
        <x:v>3</x:v>
      </x:c>
      <x:c r="N29" s="24" t="str">
        <x:v>3 个去重相关物体：vase、snow_globe、alarm_clock</x:v>
      </x:c>
      <x:c r="O29" s="24" t="str">
        <x:v>vase、snow_globe、alarm_clock 外形差异导致可视中心与 AABB 中心不一致；花园大范围自由空间不等于物体各顶点可在同一支撑面稳定释放。独立物体底座与玻璃球视觉特性可能加入非目标难度。</x:v>
      </x:c>
      <x:c r="P29" s="24" t="str">
        <x:v>保留garden跨场景，但需共同支撑平台和稳定重排，不能把大花园当任务规模。</x:v>
      </x:c>
      <x:c r="Q29" s="24" t="str">
        <x:v>局部工作区／尺寸待测</x:v>
      </x:c>
      <x:c r="R29" s="24"/>
      <x:c r="S29" s="24"/>
      <x:c r="T29" s="24" t="str">
        <x:v>已有候选YAML；完整物理执行未认证</x:v>
      </x:c>
      <x:c r="U29" s="24" t="str">
        <x:v>https://github.com/XuanCheg/Show-Harness-Explore/blob/33bada4bb278471b7a925cd8ddfa3d46a19f52fb/explore_to_achieve/tasks/Spatial%20Relations/Geometric%20Configuration/Beechwood_0_garden/garden_0/corev2__category_abfc72cb2d4b9fb983221f89.yaml</x:v>
      </x:c>
    </x:row>
    <x:row r="30" ht="54" customHeight="1">
      <x:c r="A30" s="24" t="str">
        <x:v>T28</x:v>
      </x:c>
      <x:c r="B30" s="24" t="str">
        <x:v>category_1bb95023d01fbe5c29601ab3</x:v>
      </x:c>
      <x:c r="C30" s="24" t="str">
        <x:v>CoreV2 retained</x:v>
      </x:c>
      <x:c r="D30" s="24" t="str">
        <x:v>SR</x:v>
      </x:c>
      <x:c r="E30" s="24" t="str">
        <x:v>SR-1</x:v>
      </x:c>
      <x:c r="F30" s="24" t="str">
        <x:v>Geometric Arrangement &amp; Alignment</x:v>
      </x:c>
      <x:c r="G30" s="36" t="str">
        <x:v>R0</x:v>
      </x:c>
      <x:c r="H30" s="24" t="str">
        <x:v>V1-核心候选</x:v>
      </x:c>
      <x:c r="I30" s="24" t="str">
        <x:v>Spatial Relations</x:v>
      </x:c>
      <x:c r="J30" s="24" t="str">
        <x:v>Geometric Configuration</x:v>
      </x:c>
      <x:c r="K30" s="24" t="str">
        <x:v>Beechwood_0_garden</x:v>
      </x:c>
      <x:c r="L30" s="24" t="str">
        <x:v>kitchen_0</x:v>
      </x:c>
      <x:c r="M30" s="24" t="n">
        <x:v>3</x:v>
      </x:c>
      <x:c r="N30" s="24" t="str">
        <x:v>3 个去重相关物体：jar_of_sugar、thyme_shaker、vinegar_bottle</x:v>
      </x:c>
      <x:c r="O30" s="24" t="str">
        <x:v>jar_of_sugar、thyme_shaker、vinegar_bottle 三点在拥挤厨房可能有可达面不连通问题；等腰若未区分等边或近共线，评价可能与其他三角形任务重合，此处是需核对的定义风险，不断言已有 bug。</x:v>
      </x:c>
      <x:c r="P30" s="24" t="str">
        <x:v>等腰目标必须排除退化近共线，并声明等边是否被视为等腰。</x:v>
      </x:c>
      <x:c r="Q30" s="24" t="str">
        <x:v>局部工作区／尺寸待测</x:v>
      </x:c>
      <x:c r="R30" s="24"/>
      <x:c r="S30" s="24"/>
      <x:c r="T30" s="24" t="str">
        <x:v>已有候选YAML；完整物理执行未认证</x:v>
      </x:c>
      <x:c r="U30" s="24" t="str">
        <x:v>https://github.com/XuanCheg/Show-Harness-Explore/blob/33bada4bb278471b7a925cd8ddfa3d46a19f52fb/explore_to_achieve/tasks/Spatial%20Relations/Geometric%20Configuration/Beechwood_0_garden/kitchen_0/corev2__category_1bb95023d01fbe5c29601ab3.yaml</x:v>
      </x:c>
    </x:row>
    <x:row r="31" ht="54" customHeight="1">
      <x:c r="A31" s="24" t="str">
        <x:v>T29</x:v>
      </x:c>
      <x:c r="B31" s="24" t="str">
        <x:v>category_be95222ebb4493f9b61d87fd</x:v>
      </x:c>
      <x:c r="C31" s="24" t="str">
        <x:v>CoreV2 retained</x:v>
      </x:c>
      <x:c r="D31" s="24" t="str">
        <x:v>SR</x:v>
      </x:c>
      <x:c r="E31" s="24" t="str">
        <x:v>SR-1</x:v>
      </x:c>
      <x:c r="F31" s="24" t="str">
        <x:v>Geometric Arrangement &amp; Alignment</x:v>
      </x:c>
      <x:c r="G31" s="26" t="str">
        <x:v>R1</x:v>
      </x:c>
      <x:c r="H31" s="24" t="str">
        <x:v>V1-修复后</x:v>
      </x:c>
      <x:c r="I31" s="24" t="str">
        <x:v>Spatial Relations</x:v>
      </x:c>
      <x:c r="J31" s="24" t="str">
        <x:v>Geometric Configuration</x:v>
      </x:c>
      <x:c r="K31" s="24" t="str">
        <x:v>Beechwood_0_int</x:v>
      </x:c>
      <x:c r="L31" s="24" t="str">
        <x:v>kitchen_0</x:v>
      </x:c>
      <x:c r="M31" s="24" t="n">
        <x:v>3</x:v>
      </x:c>
      <x:c r="N31" s="24" t="str">
        <x:v>3 个去重相关物体：salt_shaker、bottle_of_lemon_juice、erlenmeyer_flask</x:v>
      </x:c>
      <x:c r="O31" s="24" t="str">
        <x:v>salt_shaker、bottle_of_lemon_juice、erlenmeyer_flask 涉及宽底烧瓶与细颈抓取；靠墙台面可压缩三角形后侧顶点的手臂接近空间。仅知道物体数 3，尚无 current native 工作面净尺寸。</x:v>
      </x:c>
      <x:c r="P31" s="24" t="str">
        <x:v>烧瓶局部抓取+靠墙工作区要验证；等边与T26共享机制，作为跨楼层/场景变体。</x:v>
      </x:c>
      <x:c r="Q31" s="24" t="str">
        <x:v>局部工作区／尺寸待测</x:v>
      </x:c>
      <x:c r="R31" s="24"/>
      <x:c r="S31" s="24"/>
      <x:c r="T31" s="24" t="str">
        <x:v>已有候选YAML；完整物理执行未认证</x:v>
      </x:c>
      <x:c r="U31" s="24" t="str">
        <x:v>https://github.com/XuanCheg/Show-Harness-Explore/blob/33bada4bb278471b7a925cd8ddfa3d46a19f52fb/explore_to_achieve/tasks/Spatial%20Relations/Geometric%20Configuration/Beechwood_0_int/kitchen_0/corev2__category_be95222ebb4493f9b61d87fd.yaml</x:v>
      </x:c>
    </x:row>
    <x:row r="32" ht="54" customHeight="1">
      <x:c r="A32" s="24" t="str">
        <x:v>T30</x:v>
      </x:c>
      <x:c r="B32" s="24" t="str">
        <x:v>category_309ff5d1a6ed664bd8726e4b</x:v>
      </x:c>
      <x:c r="C32" s="24" t="str">
        <x:v>CoreV2 retained</x:v>
      </x:c>
      <x:c r="D32" s="24" t="str">
        <x:v>SR</x:v>
      </x:c>
      <x:c r="E32" s="24" t="str">
        <x:v>SR-1</x:v>
      </x:c>
      <x:c r="F32" s="24" t="str">
        <x:v>Geometric Arrangement &amp; Alignment</x:v>
      </x:c>
      <x:c r="G32" s="36" t="str">
        <x:v>R0</x:v>
      </x:c>
      <x:c r="H32" s="24" t="str">
        <x:v>V1-对照</x:v>
      </x:c>
      <x:c r="I32" s="24" t="str">
        <x:v>Spatial Relations</x:v>
      </x:c>
      <x:c r="J32" s="24" t="str">
        <x:v>Linear Alignment</x:v>
      </x:c>
      <x:c r="K32" s="24" t="str">
        <x:v>Beechwood_0_garden</x:v>
      </x:c>
      <x:c r="L32" s="24" t="str">
        <x:v>private_office_0</x:v>
      </x:c>
      <x:c r="M32" s="24" t="n">
        <x:v>3</x:v>
      </x:c>
      <x:c r="N32" s="24" t="str">
        <x:v>3 个去重相关物体：bottle_of_vodka、liquid_soap_bottle、pepper_grinder</x:v>
      </x:c>
      <x:c r="O32" s="24" t="str">
        <x:v>bottle_of_vodka、liquid_soap_bottle、pepper_grinder 共 3 件；合约允许 already-satisfied no-op，因此当前得分不能直接解释为操纵。过短的线段或几乎重合的中心可能使共线目标缺乏实际重排意义，需查验间距定义。</x:v>
      </x:c>
      <x:c r="P32" s="24" t="str">
        <x:v>已共线no-op必须单列控制；动作种子需保证最小线段长度和真实位移。</x:v>
      </x:c>
      <x:c r="Q32" s="24" t="str">
        <x:v>局部工作区／尺寸待测</x:v>
      </x:c>
      <x:c r="R32" s="24"/>
      <x:c r="S32" s="24"/>
      <x:c r="T32" s="24" t="str">
        <x:v>已有候选YAML；完整物理执行未认证</x:v>
      </x:c>
      <x:c r="U32" s="24" t="str">
        <x:v>https://github.com/XuanCheg/Show-Harness-Explore/blob/33bada4bb278471b7a925cd8ddfa3d46a19f52fb/explore_to_achieve/tasks/Spatial%20Relations/Linear%20Alignment/Beechwood_0_garden/private_office_0/corev2__category_309ff5d1a6ed664bd8726e4b.yaml</x:v>
      </x:c>
    </x:row>
    <x:row r="33" ht="54" customHeight="1">
      <x:c r="A33" s="24" t="str">
        <x:v>T31</x:v>
      </x:c>
      <x:c r="B33" s="24" t="str">
        <x:v>category_93025169f0b17c9183a2fdd9</x:v>
      </x:c>
      <x:c r="C33" s="24" t="str">
        <x:v>CoreV2 retained</x:v>
      </x:c>
      <x:c r="D33" s="24" t="str">
        <x:v>SR</x:v>
      </x:c>
      <x:c r="E33" s="24" t="str">
        <x:v>SR-2</x:v>
      </x:c>
      <x:c r="F33" s="24" t="str">
        <x:v>Contact &amp; Separation Regulation</x:v>
      </x:c>
      <x:c r="G33" s="26" t="str">
        <x:v>R1</x:v>
      </x:c>
      <x:c r="H33" s="24" t="str">
        <x:v>V2-储备</x:v>
      </x:c>
      <x:c r="I33" s="24" t="str">
        <x:v>Spatial Relations</x:v>
      </x:c>
      <x:c r="J33" s="24" t="str">
        <x:v>Physical Contact</x:v>
      </x:c>
      <x:c r="K33" s="24" t="str">
        <x:v>house_double_floor_lower</x:v>
      </x:c>
      <x:c r="L33" s="24" t="str">
        <x:v>corridor_0</x:v>
      </x:c>
      <x:c r="M33" s="24" t="n">
        <x:v>1</x:v>
      </x:c>
      <x:c r="N33" s="24" t="str">
        <x:v>2 个去重相关物体：violin、backpack</x:v>
      </x:c>
      <x:c r="O33" s="24" t="str">
        <x:v>当前 aperture_screen 的 violin AABB 约 60.26×21.23×10.54 cm，最小维略超 10 cm 夹爪且本地握持未验证；这不排除琴颈抓取/推移。新增支撑桌约 1.069×0.698 m，会占用走廊；必须检查底盘回转、分离后落点和退手。</x:v>
      </x:c>
      <x:c r="P33" s="24" t="str">
        <x:v>约60cm小提琴+走廊新增桌局部净空极敏感，暂转困难物体操作。</x:v>
      </x:c>
      <x:c r="Q33" s="24" t="str">
        <x:v>局部工作区／尺寸待测</x:v>
      </x:c>
      <x:c r="R33" s="24"/>
      <x:c r="S33" s="24"/>
      <x:c r="T33" s="24" t="str">
        <x:v>已有候选YAML；完整物理执行未认证</x:v>
      </x:c>
      <x:c r="U33" s="24" t="str">
        <x:v>https://github.com/XuanCheg/Show-Harness-Explore/blob/33bada4bb278471b7a925cd8ddfa3d46a19f52fb/explore_to_achieve/tasks/Spatial%20Relations/Physical%20Contact/house_double_floor_lower/corridor_0/corev2__category_93025169f0b17c9183a2fdd9.yaml</x:v>
      </x:c>
    </x:row>
    <x:row r="34" ht="54" customHeight="1">
      <x:c r="A34" s="24" t="str">
        <x:v>T32</x:v>
      </x:c>
      <x:c r="B34" s="24" t="str">
        <x:v>category_3a319828abcb43542f397e84</x:v>
      </x:c>
      <x:c r="C34" s="24" t="str">
        <x:v>CoreV2 retained</x:v>
      </x:c>
      <x:c r="D34" s="24" t="str">
        <x:v>SR</x:v>
      </x:c>
      <x:c r="E34" s="24" t="str">
        <x:v>SR-2</x:v>
      </x:c>
      <x:c r="F34" s="24" t="str">
        <x:v>Contact &amp; Separation Regulation</x:v>
      </x:c>
      <x:c r="G34" s="36" t="str">
        <x:v>R0</x:v>
      </x:c>
      <x:c r="H34" s="24" t="str">
        <x:v>V1-对照</x:v>
      </x:c>
      <x:c r="I34" s="24" t="str">
        <x:v>Spatial Relations</x:v>
      </x:c>
      <x:c r="J34" s="24" t="str">
        <x:v>Physical Contact</x:v>
      </x:c>
      <x:c r="K34" s="24" t="str">
        <x:v>house_single_floor</x:v>
      </x:c>
      <x:c r="L34" s="24" t="str">
        <x:v>living_room_0</x:v>
      </x:c>
      <x:c r="M34" s="24" t="n">
        <x:v>1</x:v>
      </x:c>
      <x:c r="N34" s="24" t="str">
        <x:v>2 个去重相关物体：vase、trophy</x:v>
      </x:c>
      <x:c r="O34" s="24" t="str">
        <x:v>source AABB 沿 x 已相离约 13.28 cm，且目标为 separated，因此存在初态满足风险；当前沉降后的 native contact 未读，不能直接宣称 no-op。trophy 较高窄，旁边侧卧花瓶使抓取时误触锚成为主要难度。</x:v>
      </x:c>
      <x:c r="P34" s="24" t="str">
        <x:v>先检测初始已分离状态；将已满足任务作正确停止控制，不计重排成功。</x:v>
      </x:c>
      <x:c r="Q34" s="24" t="str">
        <x:v>局部工作区／尺寸待测</x:v>
      </x:c>
      <x:c r="R34" s="24"/>
      <x:c r="S34" s="24"/>
      <x:c r="T34" s="24" t="str">
        <x:v>已有候选YAML；完整物理执行未认证</x:v>
      </x:c>
      <x:c r="U34" s="24" t="str">
        <x:v>https://github.com/XuanCheg/Show-Harness-Explore/blob/33bada4bb278471b7a925cd8ddfa3d46a19f52fb/explore_to_achieve/tasks/Spatial%20Relations/Physical%20Contact/house_single_floor/living_room_0/corev2__category_3a319828abcb43542f397e84.yaml</x:v>
      </x:c>
    </x:row>
    <x:row r="35" ht="54" customHeight="1">
      <x:c r="A35" s="24" t="str">
        <x:v>T33</x:v>
      </x:c>
      <x:c r="B35" s="24" t="str">
        <x:v>category_53f113c7995ababbabdd5559</x:v>
      </x:c>
      <x:c r="C35" s="24" t="str">
        <x:v>CoreV2 retained</x:v>
      </x:c>
      <x:c r="D35" s="24" t="str">
        <x:v>SR</x:v>
      </x:c>
      <x:c r="E35" s="24" t="str">
        <x:v>SR-2</x:v>
      </x:c>
      <x:c r="F35" s="24" t="str">
        <x:v>Contact &amp; Separation Regulation</x:v>
      </x:c>
      <x:c r="G35" s="26" t="str">
        <x:v>R1</x:v>
      </x:c>
      <x:c r="H35" s="24" t="str">
        <x:v>V1-修复后</x:v>
      </x:c>
      <x:c r="I35" s="24" t="str">
        <x:v>Spatial Relations</x:v>
      </x:c>
      <x:c r="J35" s="24" t="str">
        <x:v>Physical Contact</x:v>
      </x:c>
      <x:c r="K35" s="24" t="str">
        <x:v>house_single_floor</x:v>
      </x:c>
      <x:c r="L35" s="24" t="str">
        <x:v>corridor_0</x:v>
      </x:c>
      <x:c r="M35" s="24" t="n">
        <x:v>1</x:v>
      </x:c>
      <x:c r="N35" s="24" t="str">
        <x:v>2 个去重相关物体：shoulder_bag、textbook</x:v>
      </x:c>
      <x:c r="O35" s="24" t="str">
        <x:v>source textbook 约 28.8×38.6×5.0 cm，薄边可夹但平贴支撑时需要手指入口；shoulder_bag 与书 AABB 重叠不等于真实接触。走廊中新增工作面若存在会压缩退手和底盘通路。</x:v>
      </x:c>
      <x:c r="P35" s="24" t="str">
        <x:v>以原生contact而非AABB重合判 touching，验证厚书边与shoulder_bag锚不动。</x:v>
      </x:c>
      <x:c r="Q35" s="24" t="str">
        <x:v>局部工作区／尺寸待测</x:v>
      </x:c>
      <x:c r="R35" s="24"/>
      <x:c r="S35" s="24"/>
      <x:c r="T35" s="24" t="str">
        <x:v>已有候选YAML；完整物理执行未认证</x:v>
      </x:c>
      <x:c r="U35" s="24" t="str">
        <x:v>https://github.com/XuanCheg/Show-Harness-Explore/blob/33bada4bb278471b7a925cd8ddfa3d46a19f52fb/explore_to_achieve/tasks/Spatial%20Relations/Physical%20Contact/house_single_floor/corridor_0/corev2__category_53f113c7995ababbabdd5559.yaml</x:v>
      </x:c>
    </x:row>
    <x:row r="36" ht="54" customHeight="1">
      <x:c r="A36" s="24" t="str">
        <x:v>T34</x:v>
      </x:c>
      <x:c r="B36" s="24" t="str">
        <x:v>category_95d214aac10eb07a73ba0a99</x:v>
      </x:c>
      <x:c r="C36" s="24" t="str">
        <x:v>CoreV2 retained</x:v>
      </x:c>
      <x:c r="D36" s="24" t="str">
        <x:v>SR</x:v>
      </x:c>
      <x:c r="E36" s="24" t="str">
        <x:v>SR-2</x:v>
      </x:c>
      <x:c r="F36" s="24" t="str">
        <x:v>Contact &amp; Separation Regulation</x:v>
      </x:c>
      <x:c r="G36" s="26" t="str">
        <x:v>R1</x:v>
      </x:c>
      <x:c r="H36" s="24" t="str">
        <x:v>V2-储备</x:v>
      </x:c>
      <x:c r="I36" s="24" t="str">
        <x:v>Spatial Relations</x:v>
      </x:c>
      <x:c r="J36" s="24" t="str">
        <x:v>Physical Contact</x:v>
      </x:c>
      <x:c r="K36" s="24" t="str">
        <x:v>office_cubicles_left</x:v>
      </x:c>
      <x:c r="L36" s="24" t="str">
        <x:v>corridor_0</x:v>
      </x:c>
      <x:c r="M36" s="24" t="n">
        <x:v>1</x:v>
      </x:c>
      <x:c r="N36" s="24" t="str">
        <x:v>2 个去重相关物体：backpack、shoe_box</x:v>
      </x:c>
      <x:c r="O36" s="24" t="str">
        <x:v>source backpack 约 49.5×41.0×47.8 cm，占据显著空间；shoe_box 约 28.3×22.1×8.6 cm。8.6 cm 薄边可能在 10 cm 夹爪范围内，但顶部横向整夹并不适用，需要侧向入口；走廊的净宽需实际测量。</x:v>
      </x:c>
      <x:c r="P36" s="24" t="str">
        <x:v>49.5cm背包压迫走廊与8.6cm鞋盒侧夹，待真实路径/扫掠验证。</x:v>
      </x:c>
      <x:c r="Q36" s="24" t="str">
        <x:v>局部工作区／尺寸待测</x:v>
      </x:c>
      <x:c r="R36" s="24"/>
      <x:c r="S36" s="24"/>
      <x:c r="T36" s="24" t="str">
        <x:v>已有候选YAML；完整物理执行未认证</x:v>
      </x:c>
      <x:c r="U36" s="24" t="str">
        <x:v>https://github.com/XuanCheg/Show-Harness-Explore/blob/33bada4bb278471b7a925cd8ddfa3d46a19f52fb/explore_to_achieve/tasks/Spatial%20Relations/Physical%20Contact/office_cubicles_left/corridor_0/corev2__category_95d214aac10eb07a73ba0a99.yaml</x:v>
      </x:c>
    </x:row>
    <x:row r="37" ht="54" customHeight="1">
      <x:c r="A37" s="24" t="str">
        <x:v>T35</x:v>
      </x:c>
      <x:c r="B37" s="24" t="str">
        <x:v>category_f7f89193432473c2bb37aeb5</x:v>
      </x:c>
      <x:c r="C37" s="24" t="str">
        <x:v>CoreV2 retained</x:v>
      </x:c>
      <x:c r="D37" s="24" t="str">
        <x:v>GG</x:v>
      </x:c>
      <x:c r="E37" s="24" t="str">
        <x:v>GG-1</x:v>
      </x:c>
      <x:c r="F37" s="24" t="str">
        <x:v>Active Search &amp; Physical Collection</x:v>
      </x:c>
      <x:c r="G37" s="36" t="str">
        <x:v>R0</x:v>
      </x:c>
      <x:c r="H37" s="24" t="str">
        <x:v>V1-核心候选</x:v>
      </x:c>
      <x:c r="I37" s="24" t="str">
        <x:v>Enumerative Perception</x:v>
      </x:c>
      <x:c r="J37" s="24" t="str">
        <x:v>Hidden Object Search</x:v>
      </x:c>
      <x:c r="K37" s="24" t="str">
        <x:v>house_single_floor</x:v>
      </x:c>
      <x:c r="L37" s="24" t="str">
        <x:v>living_room_0</x:v>
      </x:c>
      <x:c r="M37" s="24" t="n">
        <x:v>3</x:v>
      </x:c>
      <x:c r="N37" s="24" t="str">
        <x:v>3 个目标 + 0 个显式相似干扰物 + 4 个语义货架 + 1 托盘</x:v>
      </x:c>
      <x:c r="O37" s="24" t="str">
        <x:v>3个汉堡、0个显式相似干扰物、4个货架（其中可有空架），右手托盘、左手收集。初始可见是允许的，不能把hidden字样当所有目标初始不可见的证据。</x:v>
      </x:c>
      <x:c r="P37" s="24" t="str">
        <x:v>3目标0相似干扰；单房收集基线，必须区分最初可见/探索发现。</x:v>
      </x:c>
      <x:c r="Q37" s="24" t="str">
        <x:v>单房／中程</x:v>
      </x:c>
      <x:c r="R37" s="24"/>
      <x:c r="S37" s="24"/>
      <x:c r="T37" s="24" t="str">
        <x:v>已有候选YAML；完整物理执行未认证</x:v>
      </x:c>
      <x:c r="U37" s="24" t="str">
        <x:v>https://github.com/XuanCheg/Show-Harness-Explore/blob/33bada4bb278471b7a925cd8ddfa3d46a19f52fb/explore_to_achieve/tasks/Enumerative%20Perception/Hidden%20Object%20Search/house_single_floor/single_room/corev2__category_f7f89193432473c2bb37aeb5.yaml</x:v>
      </x:c>
    </x:row>
    <x:row r="38" ht="54" customHeight="1">
      <x:c r="A38" s="24" t="str">
        <x:v>T36</x:v>
      </x:c>
      <x:c r="B38" s="24" t="str">
        <x:v>category_ff560c315a0a0407f6148a1b</x:v>
      </x:c>
      <x:c r="C38" s="24" t="str">
        <x:v>CoreV2 retained</x:v>
      </x:c>
      <x:c r="D38" s="24" t="str">
        <x:v>GG</x:v>
      </x:c>
      <x:c r="E38" s="24" t="str">
        <x:v>GG-1</x:v>
      </x:c>
      <x:c r="F38" s="24" t="str">
        <x:v>Active Search &amp; Physical Collection</x:v>
      </x:c>
      <x:c r="G38" s="36" t="str">
        <x:v>R0</x:v>
      </x:c>
      <x:c r="H38" s="24" t="str">
        <x:v>V1-核心候选</x:v>
      </x:c>
      <x:c r="I38" s="24" t="str">
        <x:v>Enumerative Perception</x:v>
      </x:c>
      <x:c r="J38" s="24" t="str">
        <x:v>Hidden Object Search</x:v>
      </x:c>
      <x:c r="K38" s="24" t="str">
        <x:v>house_single_floor</x:v>
      </x:c>
      <x:c r="L38" s="24" t="str">
        <x:v>living_room_0/kitchen_0/dining_room_0</x:v>
      </x:c>
      <x:c r="M38" s="24" t="n">
        <x:v>4</x:v>
      </x:c>
      <x:c r="N38" s="24" t="str">
        <x:v>4 个目标 + 0 个显式相似干扰物 + 4 个语义货架 + 1 托盘</x:v>
      </x:c>
      <x:c r="O38" s="24" t="str">
        <x:v>4个汉堡、0个显式相似干扰物、4个货架、3个loaded_rooms；前三目标位置与单房任务相同。负担增长来自跨房路程、额外抓取和持盘运输，应分别计量。</x:v>
      </x:c>
      <x:c r="P38" s="24" t="str">
        <x:v>3房4目标，对照T35增加路线和一次抓取；同建筑不得跨train/test划分。</x:v>
      </x:c>
      <x:c r="Q38" s="24" t="str">
        <x:v>多区域／中程</x:v>
      </x:c>
      <x:c r="R38" s="24"/>
      <x:c r="S38" s="24"/>
      <x:c r="T38" s="24" t="str">
        <x:v>已有候选YAML；完整物理执行未认证</x:v>
      </x:c>
      <x:c r="U38" s="24" t="str">
        <x:v>https://github.com/XuanCheg/Show-Harness-Explore/blob/33bada4bb278471b7a925cd8ddfa3d46a19f52fb/explore_to_achieve/tasks/Enumerative%20Perception/Hidden%20Object%20Search/house_single_floor/multi_room/corev2__category_ff560c315a0a0407f6148a1b.yaml</x:v>
      </x:c>
    </x:row>
    <x:row r="39" ht="54" customHeight="1">
      <x:c r="A39" s="24" t="str">
        <x:v>T37</x:v>
      </x:c>
      <x:c r="B39" s="24" t="str">
        <x:v>category_d1156faa040aacc20c70b3ce</x:v>
      </x:c>
      <x:c r="C39" s="24" t="str">
        <x:v>CoreV2 retained</x:v>
      </x:c>
      <x:c r="D39" s="24" t="str">
        <x:v>GG</x:v>
      </x:c>
      <x:c r="E39" s="24" t="str">
        <x:v>GG-1</x:v>
      </x:c>
      <x:c r="F39" s="24" t="str">
        <x:v>Active Search &amp; Physical Collection</x:v>
      </x:c>
      <x:c r="G39" s="36" t="str">
        <x:v>R0</x:v>
      </x:c>
      <x:c r="H39" s="24" t="str">
        <x:v>V1-核心候选</x:v>
      </x:c>
      <x:c r="I39" s="24" t="str">
        <x:v>Enumerative Perception</x:v>
      </x:c>
      <x:c r="J39" s="24" t="str">
        <x:v>Hidden Object Search</x:v>
      </x:c>
      <x:c r="K39" s="24" t="str">
        <x:v>Beechwood_0_int</x:v>
      </x:c>
      <x:c r="L39" s="24" t="str">
        <x:v>living_room_1</x:v>
      </x:c>
      <x:c r="M39" s="24" t="n">
        <x:v>5</x:v>
      </x:c>
      <x:c r="N39" s="24" t="str">
        <x:v>5 个目标 + 2 个显式相似干扰物 + 3 个语义货架 + 1 托盘</x:v>
      </x:c>
      <x:c r="O39" s="24" t="str">
        <x:v>5个汉堡目标+2个食物干扰物（bun/sandwich）、3个货架；相似身份与去重是信息难点，同时5次夹取的累积失败会显著影响整项成功。托盘控制负担应单列。</x:v>
      </x:c>
      <x:c r="P39" s="24" t="str">
        <x:v>5目标2显式干扰，考身份筛选与持盘收集，需有双臂参考轨迹。</x:v>
      </x:c>
      <x:c r="Q39" s="24" t="str">
        <x:v>单房／中程</x:v>
      </x:c>
      <x:c r="R39" s="24"/>
      <x:c r="S39" s="24"/>
      <x:c r="T39" s="24" t="str">
        <x:v>已有候选YAML；完整物理执行未认证</x:v>
      </x:c>
      <x:c r="U39" s="24" t="str">
        <x:v>https://github.com/XuanCheg/Show-Harness-Explore/blob/33bada4bb278471b7a925cd8ddfa3d46a19f52fb/explore_to_achieve/tasks/Enumerative%20Perception/Hidden%20Object%20Search/Beechwood_0_int/similar_repeated_views/corev2__category_d1156faa040aacc20c70b3ce.yaml</x:v>
      </x:c>
    </x:row>
    <x:row r="40" ht="54" customHeight="1">
      <x:c r="A40" s="24" t="str">
        <x:v>T38</x:v>
      </x:c>
      <x:c r="B40" s="24" t="str">
        <x:v>category_cdb38ede71f9e832885a7654</x:v>
      </x:c>
      <x:c r="C40" s="24" t="str">
        <x:v>CoreV2 retained</x:v>
      </x:c>
      <x:c r="D40" s="24" t="str">
        <x:v>TM</x:v>
      </x:c>
      <x:c r="E40" s="24" t="str">
        <x:v>TM-1</x:v>
      </x:c>
      <x:c r="F40" s="24" t="str">
        <x:v>Episodic Observation-to-Action</x:v>
      </x:c>
      <x:c r="G40" s="36" t="str">
        <x:v>R0</x:v>
      </x:c>
      <x:c r="H40" s="24" t="str">
        <x:v>V1-核心候选</x:v>
      </x:c>
      <x:c r="I40" s="24" t="str">
        <x:v>Temporal Understanding</x:v>
      </x:c>
      <x:c r="J40" s="24" t="str">
        <x:v>Agent Observation</x:v>
      </x:c>
      <x:c r="K40" s="24" t="str">
        <x:v>house_single_floor</x:v>
      </x:c>
      <x:c r="L40" s="24" t="str">
        <x:v>living_room_0</x:v>
      </x:c>
      <x:c r="M40" s="24" t="n">
        <x:v>1</x:v>
      </x:c>
      <x:c r="N40" s="24" t="str">
        <x:v>3 个历史物体 + 3 个货架 + 1 送达托盘；最终取回 1 个目标</x:v>
      </x:c>
      <x:c r="O40" s="24" t="str">
        <x:v>3个食物、3个货架、1个送达托盘；在实际第一次发现历史形成后问before_reference_encounter，followup_seed=7。144 pixels、12px extent、2m阈值记录视觉接触，不能当语义识别正确。</x:v>
      </x:c>
      <x:c r="P40" s="24" t="str">
        <x:v>首次遇见前历史取回，配对初始信息相似但先前路径不同的试验。</x:v>
      </x:c>
      <x:c r="Q40" s="24" t="str">
        <x:v>单房／中程</x:v>
      </x:c>
      <x:c r="R40" s="24"/>
      <x:c r="S40" s="24"/>
      <x:c r="T40" s="24" t="str">
        <x:v>已有候选YAML；完整物理执行未认证</x:v>
      </x:c>
      <x:c r="U40" s="24" t="str">
        <x:v>https://github.com/XuanCheg/Show-Harness-Explore/blob/33bada4bb278471b7a925cd8ddfa3d46a19f52fb/explore_to_achieve/tasks/Temporal%20Understanding/Agent%20Observation/house_single_floor/redesign_20261020/category_cdb38ede71f9e832885a7654.yaml</x:v>
      </x:c>
    </x:row>
    <x:row r="41" ht="54" customHeight="1">
      <x:c r="A41" s="24" t="str">
        <x:v>T39</x:v>
      </x:c>
      <x:c r="B41" s="24" t="str">
        <x:v>category_ebb26cc29316e397864246bd</x:v>
      </x:c>
      <x:c r="C41" s="24" t="str">
        <x:v>CoreV2 retained</x:v>
      </x:c>
      <x:c r="D41" s="24" t="str">
        <x:v>TM</x:v>
      </x:c>
      <x:c r="E41" s="24" t="str">
        <x:v>TM-1</x:v>
      </x:c>
      <x:c r="F41" s="24" t="str">
        <x:v>Episodic Observation-to-Action</x:v>
      </x:c>
      <x:c r="G41" s="36" t="str">
        <x:v>R0</x:v>
      </x:c>
      <x:c r="H41" s="24" t="str">
        <x:v>V1-核心候选</x:v>
      </x:c>
      <x:c r="I41" s="24" t="str">
        <x:v>Temporal Understanding</x:v>
      </x:c>
      <x:c r="J41" s="24" t="str">
        <x:v>Agent Observation</x:v>
      </x:c>
      <x:c r="K41" s="24" t="str">
        <x:v>Beechwood_0_int</x:v>
      </x:c>
      <x:c r="L41" s="24" t="str">
        <x:v>living_room_1</x:v>
      </x:c>
      <x:c r="M41" s="24" t="n">
        <x:v>1</x:v>
      </x:c>
      <x:c r="N41" s="24" t="str">
        <x:v>3 个历史物体 + 3 个货架 + 1 送达托盘；最终取回 1 个目标</x:v>
      </x:c>
      <x:c r="O41" s="24" t="str">
        <x:v>同样3个食物、3架、1托盘；after_reference_encounter。与Beechwood搜索任务共享空间/货架布局，应归同scene/template family。3个历史事件能支持短时顺序记忆，不能直接宣称长时记忆覆盖。</x:v>
      </x:c>
      <x:c r="P41" s="24" t="str">
        <x:v>首次遇见后历史取回，与T38验证时间方向；同货架/建筑为同family。</x:v>
      </x:c>
      <x:c r="Q41" s="24" t="str">
        <x:v>单房／中程</x:v>
      </x:c>
      <x:c r="R41" s="24"/>
      <x:c r="S41" s="24"/>
      <x:c r="T41" s="24" t="str">
        <x:v>已有候选YAML；完整物理执行未认证</x:v>
      </x:c>
      <x:c r="U41" s="24" t="str">
        <x:v>https://github.com/XuanCheg/Show-Harness-Explore/blob/33bada4bb278471b7a925cd8ddfa3d46a19f52fb/explore_to_achieve/tasks/Temporal%20Understanding/Agent%20Observation/Beechwood_0_int/redesign_20261020/category_ebb26cc29316e397864246bd.yaml</x:v>
      </x:c>
    </x:row>
    <x:row r="42" ht="54" customHeight="1">
      <x:c r="A42" s="24" t="str">
        <x:v>T40</x:v>
      </x:c>
      <x:c r="B42" s="24" t="str">
        <x:v>category_006a82c80075ae1fb18c5bc6</x:v>
      </x:c>
      <x:c r="C42" s="24" t="str">
        <x:v>CoreV2 retained</x:v>
      </x:c>
      <x:c r="D42" s="24" t="str">
        <x:v>TM</x:v>
      </x:c>
      <x:c r="E42" s="24" t="str">
        <x:v>TM-2</x:v>
      </x:c>
      <x:c r="F42" s="24" t="str">
        <x:v>Unobserved Change &amp; Contingent Action</x:v>
      </x:c>
      <x:c r="G42" s="26" t="str">
        <x:v>R1</x:v>
      </x:c>
      <x:c r="H42" s="24" t="str">
        <x:v>V1-修复后</x:v>
      </x:c>
      <x:c r="I42" s="24" t="str">
        <x:v>Temporal Understanding</x:v>
      </x:c>
      <x:c r="J42" s="24" t="str">
        <x:v>Unobserved Change</x:v>
      </x:c>
      <x:c r="K42" s="24" t="str">
        <x:v>house_single_floor</x:v>
      </x:c>
      <x:c r="L42" s="24" t="str">
        <x:v>dining_room_0</x:v>
      </x:c>
      <x:c r="M42" s="24"/>
      <x:c r="N42" s="24" t="str">
        <x:v>3 比较盒；Phase1 2 件、Phase2 1 件内容物；4 备用物；送达装置另计</x:v>
      </x:c>
      <x:c r="O42" s="24" t="str">
        <x:v>Phase1为左shaker、中cumin、右空；Phase2移除shaker；3比较盒、4公开备用物始终相同；需拿正确备用品补回原位置。先验初始状态固定会弱化memory necessity，未来应做初始状态置换。</x:v>
      </x:c>
      <x:c r="P42" s="24" t="str">
        <x:v>生成同当前观测/不同历史的成对初态，保留合法no-op。removed：置换初始盒位/内容/备用，让同样Phase2不能靠固定答案完成。</x:v>
      </x:c>
      <x:c r="Q42" s="24" t="str">
        <x:v>局部工作区／尺寸待测</x:v>
      </x:c>
      <x:c r="R42" s="24"/>
      <x:c r="S42" s="24"/>
      <x:c r="T42" s="24" t="str">
        <x:v>已有候选YAML；完整物理执行未认证</x:v>
      </x:c>
      <x:c r="U42" s="24" t="str">
        <x:v>https://github.com/XuanCheg/Show-Harness-Explore/blob/33bada4bb278471b7a925cd8ddfa3d46a19f52fb/explore_to_achieve/tasks/Temporal%20Understanding/Unobserved%20Change/house_single_floor/redesign_20261020/category_006a82c80075ae1fb18c5bc6.yaml</x:v>
      </x:c>
    </x:row>
    <x:row r="43" ht="54" customHeight="1">
      <x:c r="A43" s="24" t="str">
        <x:v>T41</x:v>
      </x:c>
      <x:c r="B43" s="24" t="str">
        <x:v>category_bd0c096bec07a9036cd4bb66</x:v>
      </x:c>
      <x:c r="C43" s="24" t="str">
        <x:v>CoreV2 retained</x:v>
      </x:c>
      <x:c r="D43" s="24" t="str">
        <x:v>TM</x:v>
      </x:c>
      <x:c r="E43" s="24" t="str">
        <x:v>TM-2</x:v>
      </x:c>
      <x:c r="F43" s="24" t="str">
        <x:v>Unobserved Change &amp; Contingent Action</x:v>
      </x:c>
      <x:c r="G43" s="36" t="str">
        <x:v>R0</x:v>
      </x:c>
      <x:c r="H43" s="24" t="str">
        <x:v>V1-对照</x:v>
      </x:c>
      <x:c r="I43" s="24" t="str">
        <x:v>Temporal Understanding</x:v>
      </x:c>
      <x:c r="J43" s="24" t="str">
        <x:v>Unobserved Change</x:v>
      </x:c>
      <x:c r="K43" s="24" t="str">
        <x:v>house_single_floor</x:v>
      </x:c>
      <x:c r="L43" s="24" t="str">
        <x:v>dining_room_0</x:v>
      </x:c>
      <x:c r="M43" s="24"/>
      <x:c r="N43" s="24" t="str">
        <x:v>3 比较盒；Phase1 2 件、Phase2 2 件内容物；4 备用物；送达装置另计</x:v>
      </x:c>
      <x:c r="O43" s="24" t="str">
        <x:v>Phase1/2均为左shaker、中cumin、右空；需有信息地检查并保持不变。是检验是否知道何时不动的合法分支；不应为了全部manipulation而额外强制移动。</x:v>
      </x:c>
      <x:c r="P43" s="24" t="str">
        <x:v>生成同当前观测/不同历史的成对初态，保留合法no-op。no_change：真实观察后停止即成功，不强迫做无意义动作；与有变化配对。</x:v>
      </x:c>
      <x:c r="Q43" s="24" t="str">
        <x:v>局部工作区／尺寸待测</x:v>
      </x:c>
      <x:c r="R43" s="24"/>
      <x:c r="S43" s="24"/>
      <x:c r="T43" s="24" t="str">
        <x:v>已有候选YAML；完整物理执行未认证</x:v>
      </x:c>
      <x:c r="U43" s="24" t="str">
        <x:v>https://github.com/XuanCheg/Show-Harness-Explore/blob/33bada4bb278471b7a925cd8ddfa3d46a19f52fb/explore_to_achieve/tasks/Temporal%20Understanding/Unobserved%20Change/house_single_floor/redesign_20261020/category_bd0c096bec07a9036cd4bb66.yaml</x:v>
      </x:c>
    </x:row>
    <x:row r="44" ht="54" customHeight="1">
      <x:c r="A44" s="24" t="str">
        <x:v>T42</x:v>
      </x:c>
      <x:c r="B44" s="24" t="str">
        <x:v>category_88ce9d62d891ae0ba628a6e9</x:v>
      </x:c>
      <x:c r="C44" s="24" t="str">
        <x:v>CoreV2 retained</x:v>
      </x:c>
      <x:c r="D44" s="24" t="str">
        <x:v>AP</x:v>
      </x:c>
      <x:c r="E44" s="24" t="str">
        <x:v>AP-3</x:v>
      </x:c>
      <x:c r="F44" s="24" t="str">
        <x:v>Experiment-to-Action Dynamics</x:v>
      </x:c>
      <x:c r="G44" s="32" t="str">
        <x:v>R2</x:v>
      </x:c>
      <x:c r="H44" s="24" t="str">
        <x:v>V1-修复后</x:v>
      </x:c>
      <x:c r="I44" s="24" t="str">
        <x:v>Physical Dynamics</x:v>
      </x:c>
      <x:c r="J44" s="24" t="str">
        <x:v>Inclined Plane</x:v>
      </x:c>
      <x:c r="K44" s="24" t="str">
        <x:v>house_single_floor</x:v>
      </x:c>
      <x:c r="L44" s="24" t="str">
        <x:v>living_room_0</x:v>
      </x:c>
      <x:c r="M44" s="24" t="n">
        <x:v>3</x:v>
      </x:c>
      <x:c r="N44" s="24" t="str">
        <x:v>3 类候选 × trial/spare = 6 个可移动物体；18 个装置 binding 不等于 18 个独立物品</x:v>
      </x:c>
      <x:c r="O44" s="24" t="str">
        <x:v>3类候选×trial/spare共6件，在同一局部ramp apparatus；历史被动探测仅ball到达(0.800s)，不是本次实验或robot rollout。</x:v>
      </x:c>
      <x:c r="P44" s="24" t="str">
        <x:v>先做至少两个物理条件导致不同唯一赢家的对照，然后验证真实试验→选择。三种候选需让不同物理参数下赢家变化；原ball总赢家会使试验变形式要求。</x:v>
      </x:c>
      <x:c r="Q44" s="24" t="str">
        <x:v>局部工作区／尺寸待测</x:v>
      </x:c>
      <x:c r="R44" s="24"/>
      <x:c r="S44" s="24"/>
      <x:c r="T44" s="24" t="str">
        <x:v>已有候选YAML；完整物理执行未认证</x:v>
      </x:c>
      <x:c r="U44" s="24" t="str">
        <x:v>https://github.com/XuanCheg/Show-Harness-Explore/blob/33bada4bb278471b7a925cd8ddfa3d46a19f52fb/explore_to_achieve/tasks/Physical%20Dynamics/Inclined%20Plane/house_single_floor/redesign_20261020/category_88ce9d62d891ae0ba628a6e9.yaml</x:v>
      </x:c>
    </x:row>
    <x:row r="45" ht="54" customHeight="1">
      <x:c r="A45" s="24" t="str">
        <x:v>T43</x:v>
      </x:c>
      <x:c r="B45" s="24" t="str">
        <x:v>category_75bff6e58684ce3d067bfee5</x:v>
      </x:c>
      <x:c r="C45" s="24" t="str">
        <x:v>CoreV2 retained</x:v>
      </x:c>
      <x:c r="D45" s="24" t="str">
        <x:v>AP</x:v>
      </x:c>
      <x:c r="E45" s="24" t="str">
        <x:v>AP-3</x:v>
      </x:c>
      <x:c r="F45" s="24" t="str">
        <x:v>Experiment-to-Action Dynamics</x:v>
      </x:c>
      <x:c r="G45" s="32" t="str">
        <x:v>R2</x:v>
      </x:c>
      <x:c r="H45" s="24" t="str">
        <x:v>V1-修复后</x:v>
      </x:c>
      <x:c r="I45" s="24" t="str">
        <x:v>Physical Dynamics</x:v>
      </x:c>
      <x:c r="J45" s="24" t="str">
        <x:v>Inclined Plane</x:v>
      </x:c>
      <x:c r="K45" s="24" t="str">
        <x:v>house_single_floor</x:v>
      </x:c>
      <x:c r="L45" s="24" t="str">
        <x:v>living_room_0</x:v>
      </x:c>
      <x:c r="M45" s="24" t="n">
        <x:v>3</x:v>
      </x:c>
      <x:c r="N45" s="24" t="str">
        <x:v>3 类候选 × trial/spare = 6 个可移动物体；18 个装置 binding 不等于 18 个独立物品</x:v>
      </x:c>
      <x:c r="O45" s="24" t="str">
        <x:v>同一房间/6件候选，改变斜坡/摩擦条件；历史被动到达avocado=0.600s、ball=0.500s，0.15s并列容差使两者可接受。</x:v>
      </x:c>
      <x:c r="P45" s="24" t="str">
        <x:v>先做至少两个物理条件导致不同唯一赢家的对照，然后验证真实试验→选择。并列容差0.15s产生多个赢家；修订物理参数和明确赢家间隔再测。</x:v>
      </x:c>
      <x:c r="Q45" s="24" t="str">
        <x:v>局部工作区／尺寸待测</x:v>
      </x:c>
      <x:c r="R45" s="24"/>
      <x:c r="S45" s="24"/>
      <x:c r="T45" s="24" t="str">
        <x:v>已有候选YAML；完整物理执行未认证</x:v>
      </x:c>
      <x:c r="U45" s="24" t="str">
        <x:v>https://github.com/XuanCheg/Show-Harness-Explore/blob/33bada4bb278471b7a925cd8ddfa3d46a19f52fb/explore_to_achieve/tasks/Physical%20Dynamics/Inclined%20Plane/house_single_floor/redesign_20261020/category_75bff6e58684ce3d067bfee5.yaml</x:v>
      </x:c>
    </x:row>
    <x:row r="46" ht="54" customHeight="1">
      <x:c r="A46" s="24" t="str">
        <x:v>T44</x:v>
      </x:c>
      <x:c r="B46" s="24" t="str">
        <x:v>category_c8b7b9e832f5ee2958b6efe0</x:v>
      </x:c>
      <x:c r="C46" s="24" t="str">
        <x:v>CoreV2 retained</x:v>
      </x:c>
      <x:c r="D46" s="24" t="str">
        <x:v>AP</x:v>
      </x:c>
      <x:c r="E46" s="24" t="str">
        <x:v>AP-3</x:v>
      </x:c>
      <x:c r="F46" s="24" t="str">
        <x:v>Experiment-to-Action Dynamics</x:v>
      </x:c>
      <x:c r="G46" s="32" t="str">
        <x:v>R2</x:v>
      </x:c>
      <x:c r="H46" s="24" t="str">
        <x:v>合并/替换</x:v>
      </x:c>
      <x:c r="I46" s="24" t="str">
        <x:v>Physical Dynamics</x:v>
      </x:c>
      <x:c r="J46" s="24" t="str">
        <x:v>Inclined Plane</x:v>
      </x:c>
      <x:c r="K46" s="24" t="str">
        <x:v>house_single_floor</x:v>
      </x:c>
      <x:c r="L46" s="24" t="str">
        <x:v>living_room_0</x:v>
      </x:c>
      <x:c r="M46" s="24" t="n">
        <x:v>3</x:v>
      </x:c>
      <x:c r="N46" s="24" t="str">
        <x:v>3 类候选 × trial/spare = 6 个可移动物体；18 个装置 binding 不等于 18 个独立物品</x:v>
      </x:c>
      <x:c r="O46" s="24" t="str">
        <x:v>同一房间/6件候选；历史被动到达bowl=0.700s、avocado=0.600s、ball=0.467s，0.15s并列容差接受avocado/ball。三项ball均可正确选择，强制实验步骤并不证明利用实验结果。</x:v>
      </x:c>
      <x:c r="P46" s="24" t="str">
        <x:v>先做至少两个物理条件导致不同唯一赢家的对照，然后验证真实试验→选择。与T42/T43同一斜坡站且ball均可成功，先合并为机制家族的参数变体；若赢者独立翻转可重新计入。</x:v>
      </x:c>
      <x:c r="Q46" s="24" t="str">
        <x:v>局部工作区／尺寸待测</x:v>
      </x:c>
      <x:c r="R46" s="24"/>
      <x:c r="S46" s="24"/>
      <x:c r="T46" s="24" t="str">
        <x:v>已有候选YAML；完整物理执行未认证</x:v>
      </x:c>
      <x:c r="U46" s="24" t="str">
        <x:v>https://github.com/XuanCheg/Show-Harness-Explore/blob/33bada4bb278471b7a925cd8ddfa3d46a19f52fb/explore_to_achieve/tasks/Physical%20Dynamics/Inclined%20Plane/house_single_floor/redesign_20261020/category_c8b7b9e832f5ee2958b6efe0.yaml</x:v>
      </x:c>
    </x:row>
    <x:row r="47" ht="54" customHeight="1">
      <x:c r="A47" s="24" t="str">
        <x:v>T45</x:v>
      </x:c>
      <x:c r="B47" s="24" t="str">
        <x:v>category_939a8fa9a40b1fc7e04a5db0</x:v>
      </x:c>
      <x:c r="C47" s="24" t="str">
        <x:v>CoreV2 retained</x:v>
      </x:c>
      <x:c r="D47" s="24" t="str">
        <x:v>TM</x:v>
      </x:c>
      <x:c r="E47" s="24" t="str">
        <x:v>TM-2</x:v>
      </x:c>
      <x:c r="F47" s="24" t="str">
        <x:v>Unobserved Change &amp; Contingent Action</x:v>
      </x:c>
      <x:c r="G47" s="26" t="str">
        <x:v>R1</x:v>
      </x:c>
      <x:c r="H47" s="24" t="str">
        <x:v>V1-修复后</x:v>
      </x:c>
      <x:c r="I47" s="24" t="str">
        <x:v>Temporal Understanding</x:v>
      </x:c>
      <x:c r="J47" s="24" t="str">
        <x:v>Unobserved Change</x:v>
      </x:c>
      <x:c r="K47" s="24" t="str">
        <x:v>house_single_floor</x:v>
      </x:c>
      <x:c r="L47" s="24" t="str">
        <x:v>dining_room_0</x:v>
      </x:c>
      <x:c r="M47" s="24"/>
      <x:c r="N47" s="24" t="str">
        <x:v>3 比较盒；Phase1 2 件、Phase2 3 件内容物；4 备用物；送达装置另计</x:v>
      </x:c>
      <x:c r="O47" s="24" t="str">
        <x:v>同3盒、4备用物、Phase1两件，Phase2三件；将新增物放到收集托盘。需避免固定右空槽让新增位置被先验猜测。</x:v>
      </x:c>
      <x:c r="P47" s="24" t="str">
        <x:v>生成同当前观测/不同历史的成对初态，保留合法no-op。added：置换初始空盒位置，防止位置捷径；有效观察后抓取新物。</x:v>
      </x:c>
      <x:c r="Q47" s="24" t="str">
        <x:v>局部工作区／尺寸待测</x:v>
      </x:c>
      <x:c r="R47" s="24"/>
      <x:c r="S47" s="24"/>
      <x:c r="T47" s="24" t="str">
        <x:v>已有候选YAML；完整物理执行未认证</x:v>
      </x:c>
      <x:c r="U47" s="24" t="str">
        <x:v>https://github.com/XuanCheg/Show-Harness-Explore/blob/33bada4bb278471b7a925cd8ddfa3d46a19f52fb/explore_to_achieve/tasks/Temporal%20Understanding/Unobserved%20Change/house_single_floor/redesign_20261020/category_939a8fa9a40b1fc7e04a5db0.yaml</x:v>
      </x:c>
    </x:row>
    <x:row r="48" ht="54" customHeight="1">
      <x:c r="A48" s="24" t="str">
        <x:v>T46</x:v>
      </x:c>
      <x:c r="B48" s="24" t="str">
        <x:v>category_0498b76051279b8acd7e914e</x:v>
      </x:c>
      <x:c r="C48" s="24" t="str">
        <x:v>CoreV2 retained</x:v>
      </x:c>
      <x:c r="D48" s="24" t="str">
        <x:v>TM</x:v>
      </x:c>
      <x:c r="E48" s="24" t="str">
        <x:v>TM-2</x:v>
      </x:c>
      <x:c r="F48" s="24" t="str">
        <x:v>Unobserved Change &amp; Contingent Action</x:v>
      </x:c>
      <x:c r="G48" s="26" t="str">
        <x:v>R1</x:v>
      </x:c>
      <x:c r="H48" s="24" t="str">
        <x:v>V1-修复后</x:v>
      </x:c>
      <x:c r="I48" s="24" t="str">
        <x:v>Temporal Understanding</x:v>
      </x:c>
      <x:c r="J48" s="24" t="str">
        <x:v>Unobserved Change</x:v>
      </x:c>
      <x:c r="K48" s="24" t="str">
        <x:v>house_single_floor</x:v>
      </x:c>
      <x:c r="L48" s="24" t="str">
        <x:v>dining_room_0</x:v>
      </x:c>
      <x:c r="M48" s="24"/>
      <x:c r="N48" s="24" t="str">
        <x:v>3 比较盒；Phase1 2 件、Phase2 2 件内容物；4 备用物；送达装置另计</x:v>
      </x:c>
      <x:c r="O48" s="24" t="str">
        <x:v>Phase1两件、Phase2两件；shaker从左移到右，操作应返回左盒。比单纯yes/no更能测位置记忆；需置换初始分配以避免固定答案。</x:v>
      </x:c>
      <x:c r="P48" s="24" t="str">
        <x:v>生成同当前观测/不同历史的成对初态，保留合法no-op。moved：需基于历史返回原盒；随机化原位置并保持配对Phase2外观。</x:v>
      </x:c>
      <x:c r="Q48" s="24" t="str">
        <x:v>局部工作区／尺寸待测</x:v>
      </x:c>
      <x:c r="R48" s="24"/>
      <x:c r="S48" s="24"/>
      <x:c r="T48" s="24" t="str">
        <x:v>已有候选YAML；完整物理执行未认证</x:v>
      </x:c>
      <x:c r="U48" s="24" t="str">
        <x:v>https://github.com/XuanCheg/Show-Harness-Explore/blob/33bada4bb278471b7a925cd8ddfa3d46a19f52fb/explore_to_achieve/tasks/Temporal%20Understanding/Unobserved%20Change/house_single_floor/redesign_20261020/category_0498b76051279b8acd7e914e.yaml</x:v>
      </x:c>
    </x:row>
    <x:row r="49" ht="54" customHeight="1">
      <x:c r="A49" s="24" t="str">
        <x:v>T47</x:v>
      </x:c>
      <x:c r="B49" s="24" t="str">
        <x:v>category_b892978c0400005618c6589c</x:v>
      </x:c>
      <x:c r="C49" s="24" t="str">
        <x:v>CoreV2 retained</x:v>
      </x:c>
      <x:c r="D49" s="24" t="str">
        <x:v>TM</x:v>
      </x:c>
      <x:c r="E49" s="24" t="str">
        <x:v>TM-2</x:v>
      </x:c>
      <x:c r="F49" s="24" t="str">
        <x:v>Unobserved Change &amp; Contingent Action</x:v>
      </x:c>
      <x:c r="G49" s="26" t="str">
        <x:v>R1</x:v>
      </x:c>
      <x:c r="H49" s="24" t="str">
        <x:v>V1-修复后</x:v>
      </x:c>
      <x:c r="I49" s="24" t="str">
        <x:v>Temporal Understanding</x:v>
      </x:c>
      <x:c r="J49" s="24" t="str">
        <x:v>Unobserved Change</x:v>
      </x:c>
      <x:c r="K49" s="24" t="str">
        <x:v>house_single_floor</x:v>
      </x:c>
      <x:c r="L49" s="24" t="str">
        <x:v>dining_room_0</x:v>
      </x:c>
      <x:c r="M49" s="24"/>
      <x:c r="N49" s="24" t="str">
        <x:v>3 比较盒；Phase1 2 件、Phase2 2 件内容物；4 备用物；送达装置另计</x:v>
      </x:c>
      <x:c r="O49" s="24" t="str">
        <x:v>Phase1两件、Phase2两件；左盒内容替换，需收集当前replacement。需确认实际视图中替换物可辨且备用清单不会泄露事件。</x:v>
      </x:c>
      <x:c r="P49" s="24" t="str">
        <x:v>生成同当前观测/不同历史的成对初态，保留合法no-op。replaced：区别身份与位置变化，校验替换物实际可辨、清单不泄露。</x:v>
      </x:c>
      <x:c r="Q49" s="24" t="str">
        <x:v>局部工作区／尺寸待测</x:v>
      </x:c>
      <x:c r="R49" s="24"/>
      <x:c r="S49" s="24"/>
      <x:c r="T49" s="24" t="str">
        <x:v>已有候选YAML；完整物理执行未认证</x:v>
      </x:c>
      <x:c r="U49" s="24" t="str">
        <x:v>https://github.com/XuanCheg/Show-Harness-Explore/blob/33bada4bb278471b7a925cd8ddfa3d46a19f52fb/explore_to_achieve/tasks/Temporal%20Understanding/Unobserved%20Change/house_single_floor/redesign_20261020/category_b892978c0400005618c6589c.yaml</x:v>
      </x:c>
    </x:row>
    <x:row r="50" ht="54" customHeight="1">
      <x:c r="A50" s="24" t="str">
        <x:v>T48</x:v>
      </x:c>
      <x:c r="B50" s="24" t="str">
        <x:v>category_7fd79b0d5819ace319f077c7</x:v>
      </x:c>
      <x:c r="C50" s="24" t="str">
        <x:v>CoreV2 retained</x:v>
      </x:c>
      <x:c r="D50" s="24" t="str">
        <x:v>TM</x:v>
      </x:c>
      <x:c r="E50" s="24" t="str">
        <x:v>TM-2</x:v>
      </x:c>
      <x:c r="F50" s="24" t="str">
        <x:v>Unobserved Change &amp; Contingent Action</x:v>
      </x:c>
      <x:c r="G50" s="36" t="str">
        <x:v>R0</x:v>
      </x:c>
      <x:c r="H50" s="24" t="str">
        <x:v>V1-核心候选</x:v>
      </x:c>
      <x:c r="I50" s="24" t="str">
        <x:v>Temporal Understanding</x:v>
      </x:c>
      <x:c r="J50" s="24" t="str">
        <x:v>Unobserved Change</x:v>
      </x:c>
      <x:c r="K50" s="24" t="str">
        <x:v>house_single_floor</x:v>
      </x:c>
      <x:c r="L50" s="24" t="str">
        <x:v>dining_room_0</x:v>
      </x:c>
      <x:c r="M50" s="24"/>
      <x:c r="N50" s="24" t="str">
        <x:v>3 比较盒；Phase1 2 件、Phase2 2 件内容物；4 备用物；送达装置另计</x:v>
      </x:c>
      <x:c r="O50" s="24" t="str">
        <x:v>Phase1两件、Phase2两件；同时removed左盒+added右盒，需两项物理操作。不是新的空间场景，应标为同布局复合事件变体。</x:v>
      </x:c>
      <x:c r="P50" s="24" t="str">
        <x:v>生成同当前观测/不同历史的成对初态，保留合法no-op。复合变化按两项动作部分计分，必须区分与T40/T45的同scene变体。</x:v>
      </x:c>
      <x:c r="Q50" s="24" t="str">
        <x:v>局部工作区／尺寸待测</x:v>
      </x:c>
      <x:c r="R50" s="24"/>
      <x:c r="S50" s="24"/>
      <x:c r="T50" s="24" t="str">
        <x:v>已有候选YAML；完整物理执行未认证</x:v>
      </x:c>
      <x:c r="U50" s="24" t="str">
        <x:v>https://github.com/XuanCheg/Show-Harness-Explore/blob/33bada4bb278471b7a925cd8ddfa3d46a19f52fb/explore_to_achieve/tasks/Temporal%20Understanding/Unobserved%20Change/house_single_floor/redesign_20261020/category_7fd79b0d5819ace319f077c7.yaml</x:v>
      </x:c>
    </x:row>
    <x:row r="51" ht="54" customHeight="1">
      <x:c r="A51" s="24" t="str">
        <x:v>T49</x:v>
      </x:c>
      <x:c r="B51" s="24" t="str">
        <x:v>category_9fd3d70ee489c4228f5f44ec</x:v>
      </x:c>
      <x:c r="C51" s="24" t="str">
        <x:v>CoreV2 retained</x:v>
      </x:c>
      <x:c r="D51" s="24" t="str">
        <x:v>GG</x:v>
      </x:c>
      <x:c r="E51" s="24" t="str">
        <x:v>GG-2</x:v>
      </x:c>
      <x:c r="F51" s="24" t="str">
        <x:v>Occlusion Removal &amp; Retrieval</x:v>
      </x:c>
      <x:c r="G51" s="36" t="str">
        <x:v>R0</x:v>
      </x:c>
      <x:c r="H51" s="24" t="str">
        <x:v>V1-对照</x:v>
      </x:c>
      <x:c r="I51" s="24" t="str">
        <x:v>Physical Structure</x:v>
      </x:c>
      <x:c r="J51" s="24" t="str">
        <x:v>Deformable</x:v>
      </x:c>
      <x:c r="K51" s="24" t="str">
        <x:v>hall_arch_wood</x:v>
      </x:c>
      <x:c r="L51" s="24" t="str">
        <x:v>empty_room_0</x:v>
      </x:c>
      <x:c r="M51" s="24" t="n">
        <x:v>1</x:v>
      </x:c>
      <x:c r="N51" s="24" t="str">
        <x:v>1 条真实浴巾 + 1 个遮盖物</x:v>
      </x:c>
      <x:c r="O51" s="24" t="str">
        <x:v>1真实浴巾+1番茄，1.0倍布；保留9视图/独立reset历史证据，但遮盖有效与真实手部揭布可行是两件事。单物体无需身份选择，信息推理负担较弱。</x:v>
      </x:c>
      <x:c r="P51" s="24" t="str">
        <x:v>同T50为简化的真实布料揭示基线；1番茄无需身份判别，不称独立认知机制。</x:v>
      </x:c>
      <x:c r="Q51" s="24" t="str">
        <x:v>局部工作区／尺寸待测</x:v>
      </x:c>
      <x:c r="R51" s="24"/>
      <x:c r="S51" s="24"/>
      <x:c r="T51" s="24" t="str">
        <x:v>已有候选YAML；完整物理执行未认证</x:v>
      </x:c>
      <x:c r="U51" s="24" t="str">
        <x:v>https://github.com/XuanCheg/Show-Harness-Explore/blob/33bada4bb278471b7a925cd8ddfa3d46a19f52fb/explore_to_achieve/tasks/Physical%20Structure/Deformable/hall_arch_wood/redesign_20261020/category_9fd3d70ee489c4228f5f44ec.yaml</x:v>
      </x:c>
    </x:row>
    <x:row r="52" ht="54" customHeight="1">
      <x:c r="A52" s="24" t="str">
        <x:v>T50</x:v>
      </x:c>
      <x:c r="B52" s="24" t="str">
        <x:v>category_fb64ed932434e097adc84053</x:v>
      </x:c>
      <x:c r="C52" s="24" t="str">
        <x:v>CoreV2 retained</x:v>
      </x:c>
      <x:c r="D52" s="24" t="str">
        <x:v>GG</x:v>
      </x:c>
      <x:c r="E52" s="24" t="str">
        <x:v>GG-2</x:v>
      </x:c>
      <x:c r="F52" s="24" t="str">
        <x:v>Occlusion Removal &amp; Retrieval</x:v>
      </x:c>
      <x:c r="G52" s="36" t="str">
        <x:v>R0</x:v>
      </x:c>
      <x:c r="H52" s="24" t="str">
        <x:v>V1-核心候选</x:v>
      </x:c>
      <x:c r="I52" s="24" t="str">
        <x:v>Physical Structure</x:v>
      </x:c>
      <x:c r="J52" s="24" t="str">
        <x:v>Deformable</x:v>
      </x:c>
      <x:c r="K52" s="24" t="str">
        <x:v>hall_arch_wood</x:v>
      </x:c>
      <x:c r="L52" s="24" t="str">
        <x:v>empty_room_0</x:v>
      </x:c>
      <x:c r="M52" s="24" t="n">
        <x:v>1</x:v>
      </x:c>
      <x:c r="N52" s="24" t="str">
        <x:v>1 条真实浴巾 + 2 个遮盖物 + 1 送达托盘</x:v>
      </x:c>
      <x:c r="O52" s="24" t="str">
        <x:v>1真实浴巾+番茄目标+plain bun干扰物+送达托盘；与单番茄同源/同地点。真正把揭示信息接到身份选择，较适合主赛道。检查扫布是否可在不推移受保护物的情况下完成。</x:v>
      </x:c>
      <x:c r="P52" s="24" t="str">
        <x:v>首选布料+目标+干扰+托盘任务；验证扫布不破坏目标并真正辨认取回。</x:v>
      </x:c>
      <x:c r="Q52" s="24" t="str">
        <x:v>局部工作区／尺寸待测</x:v>
      </x:c>
      <x:c r="R52" s="24"/>
      <x:c r="S52" s="24"/>
      <x:c r="T52" s="24" t="str">
        <x:v>已有候选YAML；完整物理执行未认证</x:v>
      </x:c>
      <x:c r="U52" s="24" t="str">
        <x:v>https://github.com/XuanCheg/Show-Harness-Explore/blob/33bada4bb278471b7a925cd8ddfa3d46a19f52fb/explore_to_achieve/tasks/Physical%20Structure/Deformable/hall_arch_wood/redesign_20261020/category_fb64ed932434e097adc84053.yaml</x:v>
      </x:c>
    </x:row>
    <x:row r="53" ht="54" customHeight="1">
      <x:c r="A53" s="24" t="str">
        <x:v>T51</x:v>
      </x:c>
      <x:c r="B53" s="24" t="str">
        <x:v>category_e2b21727ae8a25c6b7b860d5</x:v>
      </x:c>
      <x:c r="C53" s="24" t="str">
        <x:v>CoreV2 retained</x:v>
      </x:c>
      <x:c r="D53" s="24" t="str">
        <x:v>GG</x:v>
      </x:c>
      <x:c r="E53" s="24" t="str">
        <x:v>GG-2</x:v>
      </x:c>
      <x:c r="F53" s="24" t="str">
        <x:v>Occlusion Removal &amp; Retrieval</x:v>
      </x:c>
      <x:c r="G53" s="26" t="str">
        <x:v>R1</x:v>
      </x:c>
      <x:c r="H53" s="24" t="str">
        <x:v>V2-储备</x:v>
      </x:c>
      <x:c r="I53" s="24" t="str">
        <x:v>Physical Structure</x:v>
      </x:c>
      <x:c r="J53" s="24" t="str">
        <x:v>Deformable</x:v>
      </x:c>
      <x:c r="K53" s="24" t="str">
        <x:v>hall_arch_wood</x:v>
      </x:c>
      <x:c r="L53" s="24" t="str">
        <x:v>bathroom_0</x:v>
      </x:c>
      <x:c r="M53" s="24" t="n">
        <x:v>1</x:v>
      </x:c>
      <x:c r="N53" s="24" t="str">
        <x:v>1 条真实浴巾 + 1 个遮盖物</x:v>
      </x:c>
      <x:c r="O53" s="24" t="str">
        <x:v>1真实浴巾+卫生巾盒，浴巾1.3倍、bathroom_0；仅房间名不能判狭小，需实际局部扫布空间/低位抓取/布边到墙距离。仍是单物体揭布取回，非独立信息推理机制。</x:v>
      </x:c>
      <x:c r="P53" s="24" t="str">
        <x:v>1.3倍浴巾与卫生间窄环境放到布料泛化压力组，不算新机制。</x:v>
      </x:c>
      <x:c r="Q53" s="24" t="str">
        <x:v>局部工作区／尺寸待测</x:v>
      </x:c>
      <x:c r="R53" s="24"/>
      <x:c r="S53" s="24"/>
      <x:c r="T53" s="24" t="str">
        <x:v>已有候选YAML；完整物理执行未认证</x:v>
      </x:c>
      <x:c r="U53" s="24" t="str">
        <x:v>https://github.com/XuanCheg/Show-Harness-Explore/blob/33bada4bb278471b7a925cd8ddfa3d46a19f52fb/explore_to_achieve/tasks/Physical%20Structure/Deformable/hall_arch_wood/redesign_20261020/category_e2b21727ae8a25c6b7b860d5.yaml</x:v>
      </x:c>
    </x:row>
    <x:row r="54" ht="54" customHeight="1">
      <x:c r="A54" s="24" t="str">
        <x:v>R-C1</x:v>
      </x:c>
      <x:c r="B54" s="24" t="str">
        <x:v>plan_reflection_correspondence_1</x:v>
      </x:c>
      <x:c r="C54" s="24" t="str">
        <x:v>Unbuilt new design</x:v>
      </x:c>
      <x:c r="D54" s="24" t="str">
        <x:v>GG</x:v>
      </x:c>
      <x:c r="E54" s="24" t="str">
        <x:v>GG-3</x:v>
      </x:c>
      <x:c r="F54" s="24" t="str">
        <x:v>Mirror-grounded Target Selection</x:v>
      </x:c>
      <x:c r="G54" s="38" t="str">
        <x:v>N1</x:v>
      </x:c>
      <x:c r="H54" s="24" t="str">
        <x:v>V1-修复后</x:v>
      </x:c>
      <x:c r="I54" s="24" t="str">
        <x:v>Specular Reflection</x:v>
      </x:c>
      <x:c r="J54" s="24" t="str">
        <x:v>Correspondence</x:v>
      </x:c>
      <x:c r="K54" s="24" t="str">
        <x:v>Ihlen_0_int</x:v>
      </x:c>
      <x:c r="L54" s="24" t="str">
        <x:v>garage_0</x:v>
      </x:c>
      <x:c r="M54" s="24" t="n">
        <x:v>1</x:v>
      </x:c>
      <x:c r="N54" s="24" t="str">
        <x:v>3 个 tequila bottle 候选 + 1 镜面；送达区待实现</x:v>
      </x:c>
      <x:c r="O54" s="24" t="str">
        <x:v>源物体为 visual_only，低位放置。三同类物体必须有唯一镜像对应证据；不能把固定 left 答案或位置当身份。缩放机器人以对齐相机也会缩小夹爪和手臂。</x:v>
      </x:c>
      <x:c r="P54" s="24" t="str">
        <x:v>先确认R1真实八路图像中的光学证据及候选物物理可操作性；不以ESI自由相机截图代替。3同类tequila瓶+镜面，关键是原8路R1光学对应、相机位姿、真实可抓取。</x:v>
      </x:c>
      <x:c r="Q54" s="24" t="str">
        <x:v>局部工作区／尺寸待测</x:v>
      </x:c>
      <x:c r="R54" s="24"/>
      <x:c r="S54" s="24"/>
      <x:c r="T54" s="24" t="str">
        <x:v>设计中（无Task/Scene验收）</x:v>
      </x:c>
      <x:c r="U54" s="24" t="str">
        <x:v>https://github.com/ESI-Bench/ESI-Bench/blob/9f6f15ed43e81654a97de9e4db2a1fedadca2bc1/dataset/json_clean/Specular%20Reflection/Correspondence/Ihlen_0_int/garage_0/q_000.json</x:v>
      </x:c>
    </x:row>
    <x:row r="55" ht="54" customHeight="1">
      <x:c r="A55" s="24" t="str">
        <x:v>R-C2</x:v>
      </x:c>
      <x:c r="B55" s="24" t="str">
        <x:v>plan_reflection_correspondence_2</x:v>
      </x:c>
      <x:c r="C55" s="24" t="str">
        <x:v>Unbuilt new design</x:v>
      </x:c>
      <x:c r="D55" s="24" t="str">
        <x:v>GG</x:v>
      </x:c>
      <x:c r="E55" s="24" t="str">
        <x:v>GG-3</x:v>
      </x:c>
      <x:c r="F55" s="24" t="str">
        <x:v>Mirror-grounded Target Selection</x:v>
      </x:c>
      <x:c r="G55" s="38" t="str">
        <x:v>N1</x:v>
      </x:c>
      <x:c r="H55" s="24" t="str">
        <x:v>V2-储备</x:v>
      </x:c>
      <x:c r="I55" s="24" t="str">
        <x:v>Specular Reflection</x:v>
      </x:c>
      <x:c r="J55" s="24" t="str">
        <x:v>Correspondence</x:v>
      </x:c>
      <x:c r="K55" s="24" t="str">
        <x:v>hall_glass_ceiling</x:v>
      </x:c>
      <x:c r="L55" s="24" t="str">
        <x:v>empty_room_0</x:v>
      </x:c>
      <x:c r="M55" s="24" t="n">
        <x:v>1</x:v>
      </x:c>
      <x:c r="N55" s="24" t="str">
        <x:v>3 个 drip pot 候选 + 1 镜面；送达区待实现</x:v>
      </x:c>
      <x:c r="O55" s="24" t="str">
        <x:v>3 个对应题中候选跨度最大，源物体低位；初始相机光学匹配不证明底盘可通行或手可抓壶。窄位移约束可能与送达冲突。</x:v>
      </x:c>
      <x:c r="P55" s="24" t="str">
        <x:v>先确认R1真实八路图像中的光学证据及候选物物理可操作性；不以ESI自由相机截图代替。玻璃顶大厅跨度1.626m且壶低位，先排除光学误配/碰撞与路径困难。</x:v>
      </x:c>
      <x:c r="Q55" s="24" t="str">
        <x:v>局部工作区／尺寸待测</x:v>
      </x:c>
      <x:c r="R55" s="24"/>
      <x:c r="S55" s="24"/>
      <x:c r="T55" s="24" t="str">
        <x:v>设计中（无Task/Scene验收）</x:v>
      </x:c>
      <x:c r="U55" s="24" t="str">
        <x:v>https://github.com/ESI-Bench/ESI-Bench/blob/9f6f15ed43e81654a97de9e4db2a1fedadca2bc1/dataset/json_clean/Specular%20Reflection/Correspondence/hall_glass_ceiling/empty_room_0/q_007.json</x:v>
      </x:c>
    </x:row>
    <x:row r="56" ht="54" customHeight="1">
      <x:c r="A56" s="24" t="str">
        <x:v>R-C3</x:v>
      </x:c>
      <x:c r="B56" s="24" t="str">
        <x:v>plan_reflection_correspondence_3</x:v>
      </x:c>
      <x:c r="C56" s="24" t="str">
        <x:v>Unbuilt new design</x:v>
      </x:c>
      <x:c r="D56" s="24" t="str">
        <x:v>GG</x:v>
      </x:c>
      <x:c r="E56" s="24" t="str">
        <x:v>GG-3</x:v>
      </x:c>
      <x:c r="F56" s="24" t="str">
        <x:v>Mirror-grounded Target Selection</x:v>
      </x:c>
      <x:c r="G56" s="38" t="str">
        <x:v>N1</x:v>
      </x:c>
      <x:c r="H56" s="24" t="str">
        <x:v>V1-修复后</x:v>
      </x:c>
      <x:c r="I56" s="24" t="str">
        <x:v>Specular Reflection</x:v>
      </x:c>
      <x:c r="J56" s="24" t="str">
        <x:v>Correspondence</x:v>
      </x:c>
      <x:c r="K56" s="24" t="str">
        <x:v>Beechwood_0_garden</x:v>
      </x:c>
      <x:c r="L56" s="24" t="str">
        <x:v>living_room_0</x:v>
      </x:c>
      <x:c r="M56" s="24" t="n">
        <x:v>1</x:v>
      </x:c>
      <x:c r="N56" s="24" t="str">
        <x:v>3 个 pasta box 候选 + 1 镜面；送达区待实现</x:v>
      </x:c>
      <x:c r="O56" s="24" t="str">
        <x:v>盒体尺寸和低位抓取需要核查；固定朝向、位置或正面纹理可能替代镜像对应。源 visual_only 不能直接作为 manipulation 资产。</x:v>
      </x:c>
      <x:c r="P56" s="24" t="str">
        <x:v>先确认R1真实八路图像中的光学证据及候选物物理可操作性；不以ESI自由相机截图代替。3 pasta_box+镜面可作为形状对照，消除固定位置/纹理身份捷径。</x:v>
      </x:c>
      <x:c r="Q56" s="24" t="str">
        <x:v>局部工作区／尺寸待测</x:v>
      </x:c>
      <x:c r="R56" s="24"/>
      <x:c r="S56" s="24"/>
      <x:c r="T56" s="24" t="str">
        <x:v>设计中（无Task/Scene验收）</x:v>
      </x:c>
      <x:c r="U56" s="24" t="str">
        <x:v>https://github.com/ESI-Bench/ESI-Bench/blob/9f6f15ed43e81654a97de9e4db2a1fedadca2bc1/dataset/json_clean/Specular%20Reflection/Correspondence/Beechwood_0_garden/living_room_0/q_003.json</x:v>
      </x:c>
    </x:row>
    <x:row r="57" ht="54" customHeight="1">
      <x:c r="A57" s="24" t="str">
        <x:v>R-S1</x:v>
      </x:c>
      <x:c r="B57" s="24" t="str">
        <x:v>plan_reflection_spatial_1</x:v>
      </x:c>
      <x:c r="C57" s="24" t="str">
        <x:v>Unbuilt new design</x:v>
      </x:c>
      <x:c r="D57" s="24" t="str">
        <x:v>SR</x:v>
      </x:c>
      <x:c r="E57" s="24" t="str">
        <x:v>SR-3</x:v>
      </x:c>
      <x:c r="F57" s="24" t="str">
        <x:v>Reflection-grounded Reconfiguration</x:v>
      </x:c>
      <x:c r="G57" s="38" t="str">
        <x:v>N1</x:v>
      </x:c>
      <x:c r="H57" s="24" t="str">
        <x:v>V1-修复后</x:v>
      </x:c>
      <x:c r="I57" s="24" t="str">
        <x:v>Specular Reflection</x:v>
      </x:c>
      <x:c r="J57" s="24" t="str">
        <x:v>Spatial Relations</x:v>
      </x:c>
      <x:c r="K57" s="24" t="str">
        <x:v>Merom_0_garden</x:v>
      </x:c>
      <x:c r="L57" s="24" t="str">
        <x:v>living_room_0</x:v>
      </x:c>
      <x:c r="M57" s="24" t="n">
        <x:v>2</x:v>
      </x:c>
      <x:c r="N57" s="24" t="str">
        <x:v>2 个物体：vodka bottle A、supplement bottle B + 1 镜面</x:v>
      </x:c>
      <x:c r="O57" s="24" t="str">
        <x:v>A 原本更近；移动后若用实时头部位置重定义近远，会让机器人行走改变题意。低位物体与近距离底盘空间需要核对。</x:v>
      </x:c>
      <x:c r="P57" s="24" t="str">
        <x:v>先确认R1真实八路图像中的光学证据及候选物物理可操作性；不以ESI自由相机截图代替。冻结初始参考点并对真实物体距离顺序反转，明确大于噪声的间距margin。</x:v>
      </x:c>
      <x:c r="Q57" s="24" t="str">
        <x:v>局部工作区／尺寸待测</x:v>
      </x:c>
      <x:c r="R57" s="24"/>
      <x:c r="S57" s="24"/>
      <x:c r="T57" s="24" t="str">
        <x:v>设计中（无Task/Scene验收）</x:v>
      </x:c>
      <x:c r="U57" s="24" t="str">
        <x:v>https://github.com/ESI-Bench/ESI-Bench/blob/9f6f15ed43e81654a97de9e4db2a1fedadca2bc1/dataset/json_clean/Specular%20Reflection/Spatial%20Relations/Merom_0_garden/living_room_0/q_003.json</x:v>
      </x:c>
    </x:row>
    <x:row r="58" ht="54" customHeight="1">
      <x:c r="A58" s="24" t="str">
        <x:v>R-S2</x:v>
      </x:c>
      <x:c r="B58" s="24" t="str">
        <x:v>plan_reflection_spatial_2</x:v>
      </x:c>
      <x:c r="C58" s="24" t="str">
        <x:v>Unbuilt new design</x:v>
      </x:c>
      <x:c r="D58" s="24" t="str">
        <x:v>SR</x:v>
      </x:c>
      <x:c r="E58" s="24" t="str">
        <x:v>SR-3</x:v>
      </x:c>
      <x:c r="F58" s="24" t="str">
        <x:v>Reflection-grounded Reconfiguration</x:v>
      </x:c>
      <x:c r="G58" s="38" t="str">
        <x:v>N1</x:v>
      </x:c>
      <x:c r="H58" s="24" t="str">
        <x:v>V2-储备</x:v>
      </x:c>
      <x:c r="I58" s="24" t="str">
        <x:v>Specular Reflection</x:v>
      </x:c>
      <x:c r="J58" s="24" t="str">
        <x:v>Spatial Relations</x:v>
      </x:c>
      <x:c r="K58" s="24" t="str">
        <x:v>Wainscott_0_garden</x:v>
      </x:c>
      <x:c r="L58" s="24" t="str">
        <x:v>living_room_2</x:v>
      </x:c>
      <x:c r="M58" s="24" t="n">
        <x:v>2</x:v>
      </x:c>
      <x:c r="N58" s="24" t="str">
        <x:v>2 个物体：chili plant A、alarm clock B + 1 镜面</x:v>
      </x:c>
      <x:c r="O58" s="24" t="str">
        <x:v>三项反转题中源远近差最小；植物几何/碰撞、低位抓取和沉降可能影响尺度与稳定性。不能靠移动头部满足目标。</x:v>
      </x:c>
      <x:c r="P58" s="24" t="str">
        <x:v>先确认R1真实八路图像中的光学证据及候选物物理可操作性；不以ESI自由相机截图代替。原距离差0.25m，植物/钟抓取和沉降风险高；保留低margin stress。</x:v>
      </x:c>
      <x:c r="Q58" s="24" t="str">
        <x:v>局部工作区／尺寸待测</x:v>
      </x:c>
      <x:c r="R58" s="24"/>
      <x:c r="S58" s="24"/>
      <x:c r="T58" s="24" t="str">
        <x:v>设计中（无Task/Scene验收）</x:v>
      </x:c>
      <x:c r="U58" s="24" t="str">
        <x:v>https://github.com/ESI-Bench/ESI-Bench/blob/9f6f15ed43e81654a97de9e4db2a1fedadca2bc1/dataset/json_clean/Specular%20Reflection/Spatial%20Relations/Wainscott_0_garden/living_room_2/q_001.json</x:v>
      </x:c>
    </x:row>
    <x:row r="59" ht="54" customHeight="1">
      <x:c r="A59" s="24" t="str">
        <x:v>R-S3</x:v>
      </x:c>
      <x:c r="B59" s="24" t="str">
        <x:v>plan_reflection_spatial_3</x:v>
      </x:c>
      <x:c r="C59" s="24" t="str">
        <x:v>Unbuilt new design</x:v>
      </x:c>
      <x:c r="D59" s="24" t="str">
        <x:v>SR</x:v>
      </x:c>
      <x:c r="E59" s="24" t="str">
        <x:v>SR-3</x:v>
      </x:c>
      <x:c r="F59" s="24" t="str">
        <x:v>Reflection-grounded Reconfiguration</x:v>
      </x:c>
      <x:c r="G59" s="38" t="str">
        <x:v>N1</x:v>
      </x:c>
      <x:c r="H59" s="24" t="str">
        <x:v>V1-修复后</x:v>
      </x:c>
      <x:c r="I59" s="24" t="str">
        <x:v>Specular Reflection</x:v>
      </x:c>
      <x:c r="J59" s="24" t="str">
        <x:v>Spatial Relations</x:v>
      </x:c>
      <x:c r="K59" s="24" t="str">
        <x:v>house_double_floor_lower</x:v>
      </x:c>
      <x:c r="L59" s="24" t="str">
        <x:v>living_room_0</x:v>
      </x:c>
      <x:c r="M59" s="24" t="n">
        <x:v>2</x:v>
      </x:c>
      <x:c r="N59" s="24" t="str">
        <x:v>2 个物体：shampoo bottle A、vase B + 1 镜面</x:v>
      </x:c>
      <x:c r="O59" s="24" t="str">
        <x:v>源 B 更近；花瓶局部握持与低位空间未验证。两层楼名称不代表需要跨楼操作；不能额外引入无关导航负担。</x:v>
      </x:c>
      <x:c r="P59" s="24" t="str">
        <x:v>先确认R1真实八路图像中的光学证据及候选物物理可操作性；不以ESI自由相机截图代替。原B更近，任务必须移动物体而不是机器人改观察点；验证花瓶局部持握。</x:v>
      </x:c>
      <x:c r="Q59" s="24" t="str">
        <x:v>局部工作区／尺寸待测</x:v>
      </x:c>
      <x:c r="R59" s="24"/>
      <x:c r="S59" s="24"/>
      <x:c r="T59" s="24" t="str">
        <x:v>设计中（无Task/Scene验收）</x:v>
      </x:c>
      <x:c r="U59" s="24" t="str">
        <x:v>https://github.com/ESI-Bench/ESI-Bench/blob/9f6f15ed43e81654a97de9e4db2a1fedadca2bc1/dataset/json_clean/Specular%20Reflection/Spatial%20Relations/house_double_floor_lower/living_room_0/q_000.json</x:v>
      </x:c>
    </x:row>
    <x:row r="60" ht="54" customHeight="1">
      <x:c r="A60" s="24" t="str">
        <x:v>R-A1</x:v>
      </x:c>
      <x:c r="B60" s="24" t="str">
        <x:v>plan_reflection_authoring_1</x:v>
      </x:c>
      <x:c r="C60" s="24" t="str">
        <x:v>Unbuilt new design</x:v>
      </x:c>
      <x:c r="D60" s="24" t="str">
        <x:v>GG</x:v>
      </x:c>
      <x:c r="E60" s="24" t="str">
        <x:v>GG-3</x:v>
      </x:c>
      <x:c r="F60" s="24" t="str">
        <x:v>Mirror-grounded Target Selection</x:v>
      </x:c>
      <x:c r="G60" s="38" t="str">
        <x:v>N1</x:v>
      </x:c>
      <x:c r="H60" s="24" t="str">
        <x:v>V2-储备</x:v>
      </x:c>
      <x:c r="I60" s="24" t="str">
        <x:v>Specular Reflection</x:v>
      </x:c>
      <x:c r="J60" s="24" t="str">
        <x:v>Reflection Authoring</x:v>
      </x:c>
      <x:c r="K60" s="24" t="str">
        <x:v>hall_glass_ceiling</x:v>
      </x:c>
      <x:c r="L60" s="24" t="str">
        <x:v>empty_room_0</x:v>
      </x:c>
      <x:c r="M60" s="24" t="n">
        <x:v>1</x:v>
      </x:c>
      <x:c r="N60" s="24" t="str">
        <x:v>1 个 reagent bottle + 1 镜面；条件送达区待实现</x:v>
      </x:c>
      <x:c r="O60" s="24" t="str">
        <x:v>优先物理初始化风险：相机与低位瓶同 XY；在对齐真实头相机时，本体可能占据瓶的空间。源 visual_only 隐藏了碰撞问题；并非已证明无解。</x:v>
      </x:c>
      <x:c r="P60" s="24" t="str">
        <x:v>先确认R1真实八路图像中的光学证据及候选物物理可操作性；不以ESI自由相机截图代替。源相机与reagent瓶同XY；R1真实相机对位易碰撞，先换source/重建合法光学。</x:v>
      </x:c>
      <x:c r="Q60" s="24" t="str">
        <x:v>局部工作区／尺寸待测</x:v>
      </x:c>
      <x:c r="R60" s="24"/>
      <x:c r="S60" s="24"/>
      <x:c r="T60" s="24" t="str">
        <x:v>设计中（无Task/Scene验收）</x:v>
      </x:c>
      <x:c r="U60" s="24" t="str">
        <x:v>https://github.com/ESI-Bench/ESI-Bench/blob/9f6f15ed43e81654a97de9e4db2a1fedadca2bc1/dataset/json_clean/Specular%20Reflection/Reflection%20Authoring/hall_glass_ceiling/empty_room_0/q_000.json</x:v>
      </x:c>
    </x:row>
    <x:row r="61" ht="54" customHeight="1">
      <x:c r="A61" s="24" t="str">
        <x:v>R-A2</x:v>
      </x:c>
      <x:c r="B61" s="24" t="str">
        <x:v>plan_reflection_authoring_2</x:v>
      </x:c>
      <x:c r="C61" s="24" t="str">
        <x:v>Unbuilt new design</x:v>
      </x:c>
      <x:c r="D61" s="24" t="str">
        <x:v>GG</x:v>
      </x:c>
      <x:c r="E61" s="24" t="str">
        <x:v>GG-3</x:v>
      </x:c>
      <x:c r="F61" s="24" t="str">
        <x:v>Mirror-grounded Target Selection</x:v>
      </x:c>
      <x:c r="G61" s="38" t="str">
        <x:v>N1</x:v>
      </x:c>
      <x:c r="H61" s="24" t="str">
        <x:v>V1-对照</x:v>
      </x:c>
      <x:c r="I61" s="24" t="str">
        <x:v>Specular Reflection</x:v>
      </x:c>
      <x:c r="J61" s="24" t="str">
        <x:v>Reflection Authoring</x:v>
      </x:c>
      <x:c r="K61" s="24" t="str">
        <x:v>restaurant_hotel</x:v>
      </x:c>
      <x:c r="L61" s="24" t="str">
        <x:v>dining_room_0</x:v>
      </x:c>
      <x:c r="M61" s="24" t="n">
        <x:v>1</x:v>
      </x:c>
      <x:c r="N61" s="24" t="str">
        <x:v>1 个 milk carton + 1 镜面；条件送达区待实现</x:v>
      </x:c>
      <x:c r="O61" s="24" t="str">
        <x:v>较远低位目标可能超出旧版头部水平半径 1 m 的观察约束；它是直视/反射判断对照，不能全部标为依赖反射信息。</x:v>
      </x:c>
      <x:c r="P61" s="24" t="str">
        <x:v>先确认R1真实八路图像中的光学证据及候选物物理可操作性；不以ESI自由相机截图代替。直视No分支是镜像判断负样本，必须搭配R-C/Yes任务并完成条件送达。</x:v>
      </x:c>
      <x:c r="Q61" s="24" t="str">
        <x:v>局部工作区／尺寸待测</x:v>
      </x:c>
      <x:c r="R61" s="24"/>
      <x:c r="S61" s="24"/>
      <x:c r="T61" s="24" t="str">
        <x:v>设计中（无Task/Scene验收）</x:v>
      </x:c>
      <x:c r="U61" s="24" t="str">
        <x:v>https://github.com/ESI-Bench/ESI-Bench/blob/9f6f15ed43e81654a97de9e4db2a1fedadca2bc1/dataset/json_clean/Specular%20Reflection/Reflection%20Authoring/restaurant_hotel/dining_room_0/q_001.json</x:v>
      </x:c>
    </x:row>
    <x:row r="62" ht="54" customHeight="1">
      <x:c r="A62" s="24" t="str">
        <x:v>D1-1</x:v>
      </x:c>
      <x:c r="B62" s="24" t="str">
        <x:v>plan_size_d1_1</x:v>
      </x:c>
      <x:c r="C62" s="24" t="str">
        <x:v>Unbuilt new design</x:v>
      </x:c>
      <x:c r="D62" s="24" t="str">
        <x:v>GF</x:v>
      </x:c>
      <x:c r="E62" s="24" t="str">
        <x:v>GF-2</x:v>
      </x:c>
      <x:c r="F62" s="24" t="str">
        <x:v>Dimension-constrained Insertion</x:v>
      </x:c>
      <x:c r="G62" s="38" t="str">
        <x:v>N2</x:v>
      </x:c>
      <x:c r="H62" s="24" t="str">
        <x:v>V1-修复后</x:v>
      </x:c>
      <x:c r="I62" s="24" t="str">
        <x:v>Metric Comparison</x:v>
      </x:c>
      <x:c r="J62" s="24" t="str">
        <x:v>Dimension-Constrained Insertion</x:v>
      </x:c>
      <x:c r="K62" s="24" t="str">
        <x:v>Beechwood (exact scene uncommitted)</x:v>
      </x:c>
      <x:c r="L62" s="24" t="str">
        <x:v>dining_room (uncommitted)</x:v>
      </x:c>
      <x:c r="M62" s="24" t="n">
        <x:v>1</x:v>
      </x:c>
      <x:c r="N62" s="24" t="str">
        <x:v>拟 3 个尺寸冲突候选 + 1 个受限入口；最终资产未定</x:v>
      </x:c>
      <x:c r="O62" s="24" t="str">
        <x:v>若只按默认姿态比较宽度，错误候选旋转后也可能通过；若仅部分放进容器，会与现有 Rigid 重复。</x:v>
      </x:c>
      <x:c r="P62" s="24" t="str">
        <x:v>从原场景工作区筛选；独立建装置、Evaluator，验证所有允许姿态。新作宽度限口；必须真实穿过入口、三候选唯一可行且允许姿态搜索。</x:v>
      </x:c>
      <x:c r="Q62" s="24" t="str">
        <x:v>局部工作区／尺寸待测</x:v>
      </x:c>
      <x:c r="R62" s="24"/>
      <x:c r="S62" s="24"/>
      <x:c r="T62" s="24" t="str">
        <x:v>设计中（无Task/Scene验收）</x:v>
      </x:c>
      <x:c r="U62" s="24" t="str">
        <x:v>未提交</x:v>
      </x:c>
    </x:row>
    <x:row r="63" ht="54" customHeight="1">
      <x:c r="A63" s="24" t="str">
        <x:v>D1-2</x:v>
      </x:c>
      <x:c r="B63" s="24" t="str">
        <x:v>plan_size_d1_2</x:v>
      </x:c>
      <x:c r="C63" s="24" t="str">
        <x:v>Unbuilt new design</x:v>
      </x:c>
      <x:c r="D63" s="24" t="str">
        <x:v>GF</x:v>
      </x:c>
      <x:c r="E63" s="24" t="str">
        <x:v>GF-2</x:v>
      </x:c>
      <x:c r="F63" s="24" t="str">
        <x:v>Dimension-constrained Insertion</x:v>
      </x:c>
      <x:c r="G63" s="38" t="str">
        <x:v>N2</x:v>
      </x:c>
      <x:c r="H63" s="24" t="str">
        <x:v>V1-修复后</x:v>
      </x:c>
      <x:c r="I63" s="24" t="str">
        <x:v>Metric Comparison</x:v>
      </x:c>
      <x:c r="J63" s="24" t="str">
        <x:v>Dimension-Constrained Insertion</x:v>
      </x:c>
      <x:c r="K63" s="24" t="str">
        <x:v>Merom (exact scene uncommitted)</x:v>
      </x:c>
      <x:c r="L63" s="24" t="str">
        <x:v>playroom (uncommitted)</x:v>
      </x:c>
      <x:c r="M63" s="24" t="n">
        <x:v>1</x:v>
      </x:c>
      <x:c r="N63" s="24" t="str">
        <x:v>拟 3 个候选 + 1 个有顶隔间；最终资产未定</x:v>
      </x:c>
      <x:c r="O63" s="24" t="str">
        <x:v>顶板净高可能允许物体却不允许持物手进入或撤出；候选宽/高若同方向排序，模型只比较整体大小即可。</x:v>
      </x:c>
      <x:c r="P63" s="24" t="str">
        <x:v>从原场景工作区筛选；独立建装置、Evaluator，验证所有允许姿态。宽高相互冲突，有顶隔间同时允许夹爪进入/退出；先锁定scene_ID。</x:v>
      </x:c>
      <x:c r="Q63" s="24" t="str">
        <x:v>局部工作区／尺寸待测</x:v>
      </x:c>
      <x:c r="R63" s="24"/>
      <x:c r="S63" s="24"/>
      <x:c r="T63" s="24" t="str">
        <x:v>设计中（无Task/Scene验收）</x:v>
      </x:c>
      <x:c r="U63" s="24" t="str">
        <x:v>未提交</x:v>
      </x:c>
    </x:row>
    <x:row r="64" ht="54" customHeight="1">
      <x:c r="A64" s="24" t="str">
        <x:v>D1-3</x:v>
      </x:c>
      <x:c r="B64" s="24" t="str">
        <x:v>plan_size_d1_3</x:v>
      </x:c>
      <x:c r="C64" s="24" t="str">
        <x:v>Unbuilt new design</x:v>
      </x:c>
      <x:c r="D64" s="24" t="str">
        <x:v>GF</x:v>
      </x:c>
      <x:c r="E64" s="24" t="str">
        <x:v>GF-2</x:v>
      </x:c>
      <x:c r="F64" s="24" t="str">
        <x:v>Dimension-constrained Insertion</x:v>
      </x:c>
      <x:c r="G64" s="38" t="str">
        <x:v>N2</x:v>
      </x:c>
      <x:c r="H64" s="24" t="str">
        <x:v>V2-储备</x:v>
      </x:c>
      <x:c r="I64" s="24" t="str">
        <x:v>Metric Comparison</x:v>
      </x:c>
      <x:c r="J64" s="24" t="str">
        <x:v>Dimension-Constrained Insertion</x:v>
      </x:c>
      <x:c r="K64" s="24" t="str">
        <x:v>house_double_floor (exact scene uncommitted)</x:v>
      </x:c>
      <x:c r="L64" s="24" t="str">
        <x:v>living_room (uncommitted)</x:v>
      </x:c>
      <x:c r="M64" s="24" t="n">
        <x:v>1</x:v>
      </x:c>
      <x:c r="N64" s="24" t="str">
        <x:v>拟 3 个候选 + 1 个深度/朝向受限入口；最终资产未定</x:v>
      </x:c>
      <x:c r="O64" s="24" t="str">
        <x:v>转动避障或深度约束可能变成极窄低级控制问题；默认 AABB 尺寸不能证明所有合法朝向都不可行。</x:v>
      </x:c>
      <x:c r="P64" s="24" t="str">
        <x:v>从原场景工作区筛选；独立建装置、Evaluator，验证所有允许姿态。深度/朝向约束偏连续精细控制，先到V2做扫掠体积可行性。</x:v>
      </x:c>
      <x:c r="Q64" s="24" t="str">
        <x:v>局部工作区／尺寸待测</x:v>
      </x:c>
      <x:c r="R64" s="24"/>
      <x:c r="S64" s="24"/>
      <x:c r="T64" s="24" t="str">
        <x:v>设计中（无Task/Scene验收）</x:v>
      </x:c>
      <x:c r="U64" s="24" t="str">
        <x:v>未提交</x:v>
      </x:c>
    </x:row>
    <x:row r="65" ht="54" customHeight="1">
      <x:c r="A65" s="24" t="str">
        <x:v>D2-1</x:v>
      </x:c>
      <x:c r="B65" s="24" t="str">
        <x:v>plan_size_d2_1</x:v>
      </x:c>
      <x:c r="C65" s="24" t="str">
        <x:v>Unbuilt new design</x:v>
      </x:c>
      <x:c r="D65" s="24" t="str">
        <x:v>GF</x:v>
      </x:c>
      <x:c r="E65" s="24" t="str">
        <x:v>GF-3</x:v>
      </x:c>
      <x:c r="F65" s="24" t="str">
        <x:v>Metric Sorting &amp; Assignment</x:v>
      </x:c>
      <x:c r="G65" s="38" t="str">
        <x:v>N2</x:v>
      </x:c>
      <x:c r="H65" s="24" t="str">
        <x:v>V1-修复后</x:v>
      </x:c>
      <x:c r="I65" s="24" t="str">
        <x:v>Metric Comparison</x:v>
      </x:c>
      <x:c r="J65" s="24" t="str">
        <x:v>Relational Sorting</x:v>
      </x:c>
      <x:c r="K65" s="24" t="str">
        <x:v>Beechwood (exact scene uncommitted)</x:v>
      </x:c>
      <x:c r="L65" s="24" t="str">
        <x:v>kitchen (uncommitted)</x:v>
      </x:c>
      <x:c r="M65" s="24" t="n">
        <x:v>3</x:v>
      </x:c>
      <x:c r="N65" s="24" t="str">
        <x:v>拟 3 个待排序物体 + 3 个放置位置；最终资产未定</x:v>
      </x:c>
      <x:c r="O65" s="24" t="str">
        <x:v>按世界坐标 AABB 高度排序会受旋转影响；三槽应足够容纳各物体且可稳定放置，桌面拥挤不能替代比较能力。</x:v>
      </x:c>
      <x:c r="P65" s="24" t="str">
        <x:v>从原场景工作区筛选；独立建装置、Evaluator，验证所有允许姿态。3物体按本征高度排序且在单一紧凑工作站放稳，和现有几何构型互补。</x:v>
      </x:c>
      <x:c r="Q65" s="24" t="str">
        <x:v>局部工作区／尺寸待测</x:v>
      </x:c>
      <x:c r="R65" s="24"/>
      <x:c r="S65" s="24"/>
      <x:c r="T65" s="24" t="str">
        <x:v>设计中（无Task/Scene验收）</x:v>
      </x:c>
      <x:c r="U65" s="24" t="str">
        <x:v>未提交</x:v>
      </x:c>
    </x:row>
    <x:row r="66" ht="54" customHeight="1">
      <x:c r="A66" s="24" t="str">
        <x:v>D2-2</x:v>
      </x:c>
      <x:c r="B66" s="24" t="str">
        <x:v>plan_size_d2_2</x:v>
      </x:c>
      <x:c r="C66" s="24" t="str">
        <x:v>Unbuilt new design</x:v>
      </x:c>
      <x:c r="D66" s="24" t="str">
        <x:v>GF</x:v>
      </x:c>
      <x:c r="E66" s="24" t="str">
        <x:v>GF-3</x:v>
      </x:c>
      <x:c r="F66" s="24" t="str">
        <x:v>Metric Sorting &amp; Assignment</x:v>
      </x:c>
      <x:c r="G66" s="38" t="str">
        <x:v>N2</x:v>
      </x:c>
      <x:c r="H66" s="24" t="str">
        <x:v>V2-储备</x:v>
      </x:c>
      <x:c r="I66" s="24" t="str">
        <x:v>Metric Comparison</x:v>
      </x:c>
      <x:c r="J66" s="24" t="str">
        <x:v>Relational Sorting</x:v>
      </x:c>
      <x:c r="K66" s="24" t="str">
        <x:v>office_cubicles (exact scene uncommitted)</x:v>
      </x:c>
      <x:c r="L66" s="24" t="str">
        <x:v>lobby (uncommitted)</x:v>
      </x:c>
      <x:c r="M66" s="24" t="n">
        <x:v>4</x:v>
      </x:c>
      <x:c r="N66" s="24" t="str">
        <x:v>拟 4 个待排序物体 + 4 个放置位置；最终资产未定</x:v>
      </x:c>
      <x:c r="O66" s="24" t="str">
        <x:v>多 1 个物体同时增加比较、记忆和抓取负担；若与 D2-1 同时改变房型、维度与数量，不能把差异归因于单一因素。</x:v>
      </x:c>
      <x:c r="P66" s="24" t="str">
        <x:v>从原场景工作区筛选；独立建装置、Evaluator，验证所有允许姿态。4物体、宽度、不同大厅三变量混杂；在同站3/4物体配对后再加入。</x:v>
      </x:c>
      <x:c r="Q66" s="24" t="str">
        <x:v>局部工作区／尺寸待测</x:v>
      </x:c>
      <x:c r="R66" s="24"/>
      <x:c r="S66" s="24"/>
      <x:c r="T66" s="24" t="str">
        <x:v>设计中（无Task/Scene验收）</x:v>
      </x:c>
      <x:c r="U66" s="24" t="str">
        <x:v>未提交</x:v>
      </x:c>
    </x:row>
  </x:sheetData>
  <x:mergeCells>
    <x:mergeCell ref="A1:U2"/>
    <x:mergeCell ref="A3:U3"/>
  </x:mergeCells>
  <x:pageMargins left="0.7" right="0.7" top="0.75" bottom="0.75" header="0.3" footer="0.3"/>
  <x:tableParts count="1">
    <x:tablePart xmlns:r="http://schemas.openxmlformats.org/officeDocument/2006/relationships" r:id="Rddb06b298295468c"/>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3" hidden="0" customWidth="1"/>
    <x:col min="2" max="2" width="48" hidden="0" customWidth="1"/>
    <x:col min="3" max="3" width="20" hidden="0" customWidth="1"/>
    <x:col min="4" max="4" width="12" hidden="0" customWidth="1"/>
    <x:col min="5" max="5" width="95" hidden="0" customWidth="1"/>
    <x:col min="6" max="6" width="61" hidden="0" customWidth="1"/>
    <x:col min="7" max="7" width="90" hidden="0" customWidth="1"/>
  </x:cols>
  <x:sheetData>
    <x:row r="1" ht="24" customHeight="1">
      <x:c r="A1" s="4" t="str">
        <x:v>MECHANISM GAPS | FILL TASK SLOTS</x:v>
      </x:c>
      <x:c r="B1" s="4"/>
      <x:c r="C1" s="4"/>
      <x:c r="D1" s="4"/>
      <x:c r="E1" s="4"/>
      <x:c r="F1" s="4"/>
      <x:c r="G1" s="4"/>
    </x:row>
    <x:row r="2" ht="24" customHeight="1">
      <x:c r="A2" s="4"/>
      <x:c r="B2" s="4"/>
      <x:c r="C2" s="4"/>
      <x:c r="D2" s="4"/>
      <x:c r="E2" s="4"/>
      <x:c r="F2" s="4"/>
      <x:c r="G2" s="4"/>
    </x:row>
    <x:row r="3" ht="30" customHeight="1">
      <x:c r="A3" s="10" t="str">
        <x:v>缺口既包括空的科学子类，也包括“源代码存在但不构成合格的机器人Action task”。</x:v>
      </x:c>
      <x:c r="B3" s="10"/>
      <x:c r="C3" s="10"/>
      <x:c r="D3" s="10"/>
      <x:c r="E3" s="10"/>
      <x:c r="F3" s="10"/>
      <x:c r="G3" s="10"/>
    </x:row>
    <x:row r="5" ht="32" customHeight="1">
      <x:c r="A5" s="17" t="str">
        <x:v>Subclass</x:v>
      </x:c>
      <x:c r="B5" s="17" t="str">
        <x:v>Gap type</x:v>
      </x:c>
      <x:c r="C5" s="17" t="str">
        <x:v>Design coverage</x:v>
      </x:c>
      <x:c r="D5" s="17" t="str">
        <x:v>Priority</x:v>
      </x:c>
      <x:c r="E5" s="17" t="str">
        <x:v>Minimum viable fix</x:v>
      </x:c>
      <x:c r="F5" s="17" t="str">
        <x:v>Scene candidates</x:v>
      </x:c>
      <x:c r="G5" s="17" t="str">
        <x:v>Scientific admission test</x:v>
      </x:c>
    </x:row>
    <x:row r="6" ht="70" customHeight="1">
      <x:c r="A6" s="24" t="str">
        <x:v>AP-4</x:v>
      </x:c>
      <x:c r="B6" s="24" t="str">
        <x:v>真正空缺</x:v>
      </x:c>
      <x:c r="C6" s="24" t="str">
        <x:v>0设计/0已实现</x:v>
      </x:c>
      <x:c r="D6" s="32" t="str">
        <x:v>P0</x:v>
      </x:c>
      <x:c r="E6" s="24" t="str">
        <x:v>新增1个可逆世界扰动后的恢复任务；建议源T26场景</x:v>
      </x:c>
      <x:c r="F6" s="24" t="str">
        <x:v>Beechwood_0_garden / utility_room_0</x:v>
      </x:c>
      <x:c r="G6" s="24" t="str">
        <x:v>新物理状态切换+分项Evaluator，先证实合法恢复轨迹</x:v>
      </x:c>
    </x:row>
    <x:row r="7" ht="70" customHeight="1">
      <x:c r="A7" s="24" t="str">
        <x:v>AP-3</x:v>
      </x:c>
      <x:c r="B7" s="24" t="str">
        <x:v>任务已有，但无法区分实验选择策略</x:v>
      </x:c>
      <x:c r="C7" s="24" t="str">
        <x:v>3现有</x:v>
      </x:c>
      <x:c r="D7" s="32" t="str">
        <x:v>P0</x:v>
      </x:c>
      <x:c r="E7" s="24" t="str">
        <x:v>让同装置至少两种参数产生不同唯一赢家</x:v>
      </x:c>
      <x:c r="F7" s="24" t="str">
        <x:v>house_single_floor / living_room_0</x:v>
      </x:c>
      <x:c r="G7" s="24" t="str">
        <x:v>2×2反事实；禁用trial仍能固定选对则不合格</x:v>
      </x:c>
    </x:row>
    <x:row r="8" ht="70" customHeight="1">
      <x:c r="A8" s="24" t="str">
        <x:v>NT-3</x:v>
      </x:c>
      <x:c r="B8" s="24" t="str">
        <x:v>词面泄露/QA物理终态弱</x:v>
      </x:c>
      <x:c r="C8" s="24" t="str">
        <x:v>3现有</x:v>
      </x:c>
      <x:c r="D8" s="32" t="str">
        <x:v>P0</x:v>
      </x:c>
      <x:c r="E8" s="24" t="str">
        <x:v>T11移除标签答案泄露；T09/T10强化可验证的锚点到访</x:v>
      </x:c>
      <x:c r="F8" s="24" t="str">
        <x:v>school_gym / full_scene &amp; restaurant_cafeteria</x:v>
      </x:c>
      <x:c r="G8" s="24" t="str">
        <x:v>结果拆分：正确锚点、真实到达、答案</x:v>
      </x:c>
    </x:row>
    <x:row r="9" ht="70" customHeight="1">
      <x:c r="A9" s="24" t="str">
        <x:v>GF-2</x:v>
      </x:c>
      <x:c r="B9" s="24" t="str">
        <x:v>任务设计存在但无物理装置与评分</x:v>
      </x:c>
      <x:c r="C9" s="24" t="str">
        <x:v>3新设计</x:v>
      </x:c>
      <x:c r="D9" s="32" t="str">
        <x:v>P0</x:v>
      </x:c>
      <x:c r="E9" s="24" t="str">
        <x:v>D1-1、D1-2先实现，D1-3留压力样本</x:v>
      </x:c>
      <x:c r="F9" s="24" t="str">
        <x:v>Beechwood_0_garden / utility_room_0; Merom_0_garden / utility_room_0</x:v>
      </x:c>
      <x:c r="G9" s="24" t="str">
        <x:v>不同允许姿态下唯一可行+夹爪撤出</x:v>
      </x:c>
    </x:row>
    <x:row r="10" ht="70" customHeight="1">
      <x:c r="A10" s="24" t="str">
        <x:v>GF-3</x:v>
      </x:c>
      <x:c r="B10" s="24" t="str">
        <x:v>任务设计存在但未建物理排序关卡</x:v>
      </x:c>
      <x:c r="C10" s="24" t="str">
        <x:v>2新设计</x:v>
      </x:c>
      <x:c r="D10" s="24" t="str">
        <x:v>P1</x:v>
      </x:c>
      <x:c r="E10" s="24" t="str">
        <x:v>D2-1优先、D2-2第二批</x:v>
      </x:c>
      <x:c r="F10" s="24" t="str">
        <x:v>Beechwood_0_garden / kitchen_0</x:v>
      </x:c>
      <x:c r="G10" s="24" t="str">
        <x:v>物体可独立抓放；独立槽位/无固定映射捷径</x:v>
      </x:c>
    </x:row>
    <x:row r="11" ht="70" customHeight="1">
      <x:c r="A11" s="24" t="str">
        <x:v>SR-3</x:v>
      </x:c>
      <x:c r="B11" s="24" t="str">
        <x:v>原镜面Converter有，物理重构任务未构建</x:v>
      </x:c>
      <x:c r="C11" s="24" t="str">
        <x:v>3新设计</x:v>
      </x:c>
      <x:c r="D11" s="32" t="str">
        <x:v>P0</x:v>
      </x:c>
      <x:c r="E11" s="24" t="str">
        <x:v>R-S1优先，R-S3/2备选</x:v>
      </x:c>
      <x:c r="F11" s="24" t="str">
        <x:v>Merom_0_garden / living_room_0</x:v>
      </x:c>
      <x:c r="G11" s="24" t="str">
        <x:v>绝不因机器人观察点移动改变原距离定义</x:v>
      </x:c>
    </x:row>
    <x:row r="12" ht="70" customHeight="1">
      <x:c r="A12" s="24" t="str">
        <x:v>GG-3</x:v>
      </x:c>
      <x:c r="B12" s="24" t="str">
        <x:v>原镜面源/Converter有，物理交付未构建</x:v>
      </x:c>
      <x:c r="C12" s="24" t="str">
        <x:v>5新设计</x:v>
      </x:c>
      <x:c r="D12" s="32" t="str">
        <x:v>P0</x:v>
      </x:c>
      <x:c r="E12" s="24" t="str">
        <x:v>R-C1+C3+R-A2先形成正负对照</x:v>
      </x:c>
      <x:c r="F12" s="24" t="str">
        <x:v>Ihlen_0_int / garage_0; restaurant_hotel / dining_room_0</x:v>
      </x:c>
      <x:c r="G12" s="24" t="str">
        <x:v>R1 8-view镜像可见/实体non-visual-only/合法交付</x:v>
      </x:c>
    </x:row>
    <x:row r="13" ht="70" customHeight="1">
      <x:c r="A13" s="24" t="str">
        <x:v>GG-4</x:v>
      </x:c>
      <x:c r="B13" s="24" t="str">
        <x:v>已有Task但原容器可能物理不可穿过</x:v>
      </x:c>
      <x:c r="C13" s="24" t="str">
        <x:v>3现有</x:v>
      </x:c>
      <x:c r="D13" s="32" t="str">
        <x:v>P0</x:v>
      </x:c>
      <x:c r="E13" s="24" t="str">
        <x:v>替换/新增宽口版本，保留源任务作为对照/档案</x:v>
      </x:c>
      <x:c r="F13" s="24" t="str">
        <x:v>Beechwood_0_garden / dining_room_0</x:v>
      </x:c>
      <x:c r="G13" s="24" t="str">
        <x:v>透明内外状态必须改变分支选择</x:v>
      </x:c>
    </x:row>
    <x:row r="14" ht="70" customHeight="1">
      <x:c r="A14" s="24" t="str">
        <x:v>TM-2</x:v>
      </x:c>
      <x:c r="B14" s="24" t="str">
        <x:v>同一scene和固定初态导致答案捷径</x:v>
      </x:c>
      <x:c r="C14" s="24" t="str">
        <x:v>6现有</x:v>
      </x:c>
      <x:c r="D14" s="32" t="str">
        <x:v>P0</x:v>
      </x:c>
      <x:c r="E14" s="24" t="str">
        <x:v>初态置换、同当前观测历史对照、完整两阶段操作</x:v>
      </x:c>
      <x:c r="F14" s="24" t="str">
        <x:v>house_single_floor / dining_room_0</x:v>
      </x:c>
      <x:c r="G14" s="24" t="str">
        <x:v>去历史基线更差；不应故意不可观察</x:v>
      </x:c>
    </x:row>
    <x:row r="15" ht="70" customHeight="1">
      <x:c r="A15" s="24" t="str">
        <x:v>AP-2</x:v>
      </x:c>
      <x:c r="B15" s="24" t="str">
        <x:v>部分操作几何不合理/稳定性未证</x:v>
      </x:c>
      <x:c r="C15" s="24" t="str">
        <x:v>4现有</x:v>
      </x:c>
      <x:c r="D15" s="24" t="str">
        <x:v>P1</x:v>
      </x:c>
      <x:c r="E15" s="24" t="str">
        <x:v>先T19，后T18/T20；T21需要共同工作区</x:v>
      </x:c>
      <x:c r="F15" s="24" t="str">
        <x:v>house_single_floor / childs_room_0</x:v>
      </x:c>
      <x:c r="G15" s="24" t="str">
        <x:v>实际release+撤手+持续物理稳定</x:v>
      </x:c>
    </x:row>
    <x:row r="16" ht="70" customHeight="1">
      <x:c r="A16" s="24" t="str">
        <x:v>GG-2</x:v>
      </x:c>
      <x:c r="B16" s="24" t="str">
        <x:v>真实布料交互未certify</x:v>
      </x:c>
      <x:c r="C16" s="24" t="str">
        <x:v>3现有</x:v>
      </x:c>
      <x:c r="D16" s="24" t="str">
        <x:v>P1</x:v>
      </x:c>
      <x:c r="E16" s="24" t="str">
        <x:v>优先T50；T49作为no-distractor对照</x:v>
      </x:c>
      <x:c r="F16" s="24" t="str">
        <x:v>hall_arch_wood / empty_room_0</x:v>
      </x:c>
      <x:c r="G16" s="24" t="str">
        <x:v>软体需非代理碰撞，抓取时布料不作弊</x:v>
      </x:c>
    </x:row>
    <x:row r="17" ht="70" customHeight="1">
      <x:c r="A17" s="24" t="str">
        <x:v>NT-2</x:v>
      </x:c>
      <x:c r="B17" s="24" t="str">
        <x:v>大尺度路线成本差异明显</x:v>
      </x:c>
      <x:c r="C17" s="24" t="str">
        <x:v>2现有</x:v>
      </x:c>
      <x:c r="D17" s="24" t="str">
        <x:v>P1</x:v>
      </x:c>
      <x:c r="E17" s="24" t="str">
        <x:v>T07先行，T08标独立large-scale压力</x:v>
      </x:c>
      <x:c r="F17" s="24" t="str">
        <x:v>Beechwood_0_int / full_scene</x:v>
      </x:c>
      <x:c r="G17" s="24" t="str">
        <x:v>面积、实际路径、门动作成本、决策数分别报告</x:v>
      </x:c>
    </x:row>
  </x:sheetData>
  <x:mergeCells>
    <x:mergeCell ref="A1:G2"/>
    <x:mergeCell ref="A3:G3"/>
  </x:mergeCells>
  <x:pageMargins left="0.7" right="0.7" top="0.75" bottom="0.75" header="0.3" footer="0.3"/>
  <x:tableParts count="1">
    <x:tablePart xmlns:r="http://schemas.openxmlformats.org/officeDocument/2006/relationships" r:id="R37d1cf20ac744fad"/>
  </x:tableParts>
</x:worksheet>
</file>

<file path=xl/worksheets/sheet7.xml><?xml version="1.0" encoding="utf-8"?>
<x:worksheet xmlns:x="http://schemas.openxmlformats.org/spreadsheetml/2006/main">
  <x:sheetViews>
    <x:sheetView workbookViewId="0">
      <x:pane xSplit="4" ySplit="5" topLeftCell="E6" activePane="bottomRight" state="frozen"/>
    </x:sheetView>
  </x:sheetViews>
  <x:sheetFormatPr defaultRowHeight="15"/>
  <x:cols>
    <x:col min="1" max="1" width="11" hidden="0" customWidth="1"/>
    <x:col min="2" max="2" width="13" hidden="0" customWidth="1"/>
    <x:col min="3" max="3" width="35" hidden="0" customWidth="1"/>
    <x:col min="4" max="4" width="35" hidden="0" customWidth="1"/>
    <x:col min="5" max="5" width="29" hidden="0" customWidth="1"/>
    <x:col min="6" max="6" width="83" hidden="0" customWidth="1"/>
    <x:col min="7" max="7" width="74" hidden="0" customWidth="1"/>
    <x:col min="8" max="8" width="74" hidden="0" customWidth="1"/>
    <x:col min="9" max="9" width="13" hidden="0" customWidth="1"/>
    <x:col min="10" max="10" width="82" hidden="0" customWidth="1"/>
    <x:col min="11" max="11" width="38" hidden="0" customWidth="1"/>
  </x:cols>
  <x:sheetData>
    <x:row r="1" ht="24" customHeight="1">
      <x:c r="A1" s="4" t="str">
        <x:v>SCENE SHORTLIST | NOT PHYSICAL ACCEPTANCE</x:v>
      </x:c>
      <x:c r="B1" s="4"/>
      <x:c r="C1" s="4"/>
      <x:c r="D1" s="4"/>
      <x:c r="E1" s="4"/>
      <x:c r="F1" s="4"/>
      <x:c r="G1" s="4"/>
      <x:c r="H1" s="4"/>
      <x:c r="I1" s="4"/>
      <x:c r="J1" s="4"/>
      <x:c r="K1" s="4"/>
    </x:row>
    <x:row r="2" ht="24" customHeight="1">
      <x:c r="A2" s="4"/>
      <x:c r="B2" s="4"/>
      <x:c r="C2" s="4"/>
      <x:c r="D2" s="4"/>
      <x:c r="E2" s="4"/>
      <x:c r="F2" s="4"/>
      <x:c r="G2" s="4"/>
      <x:c r="H2" s="4"/>
      <x:c r="I2" s="4"/>
      <x:c r="J2" s="4"/>
      <x:c r="K2" s="4"/>
    </x:row>
    <x:row r="3" ht="30" customHeight="1">
      <x:c r="A3" s="10" t="str">
        <x:v>从已有CoreV2布局/原ESI光学和尺寸源筛选；room size、背景实例和实际R1可通行性必须进GPU/Native收据。</x:v>
      </x:c>
      <x:c r="B3" s="10"/>
      <x:c r="C3" s="10"/>
      <x:c r="D3" s="10"/>
      <x:c r="E3" s="10"/>
      <x:c r="F3" s="10"/>
      <x:c r="G3" s="10"/>
      <x:c r="H3" s="10"/>
      <x:c r="I3" s="10"/>
      <x:c r="J3" s="10"/>
      <x:c r="K3" s="10"/>
    </x:row>
    <x:row r="5" ht="32" customHeight="1">
      <x:c r="A5" s="17" t="str">
        <x:v>Rank/row</x:v>
      </x:c>
      <x:c r="B5" s="17" t="str">
        <x:v>Slot</x:v>
      </x:c>
      <x:c r="C5" s="17" t="str">
        <x:v>Scene ID</x:v>
      </x:c>
      <x:c r="D5" s="17" t="str">
        <x:v>Room</x:v>
      </x:c>
      <x:c r="E5" s="17" t="str">
        <x:v>Reuse source</x:v>
      </x:c>
      <x:c r="F5" s="17" t="str">
        <x:v>Candidate task mechanism</x:v>
      </x:c>
      <x:c r="G5" s="17" t="str">
        <x:v>Known asset/scene support</x:v>
      </x:c>
      <x:c r="H5" s="17" t="str">
        <x:v>Main blocker</x:v>
      </x:c>
      <x:c r="I5" s="17" t="str">
        <x:v>Priority</x:v>
      </x:c>
      <x:c r="J5" s="17" t="str">
        <x:v>Admission experiment</x:v>
      </x:c>
      <x:c r="K5" s="17" t="str">
        <x:v>Native status</x:v>
      </x:c>
    </x:row>
    <x:row r="6" ht="66" customHeight="1">
      <x:c r="A6" s="24" t="n">
        <x:v>1</x:v>
      </x:c>
      <x:c r="B6" s="24" t="str">
        <x:v>AP-4</x:v>
      </x:c>
      <x:c r="C6" s="24" t="str">
        <x:v>Beechwood_0_garden</x:v>
      </x:c>
      <x:c r="D6" s="24" t="str">
        <x:v>utility_room_0</x:v>
      </x:c>
      <x:c r="E6" s="24" t="str">
        <x:v>T26</x:v>
      </x:c>
      <x:c r="F6" s="24" t="str">
        <x:v>三物体几何摆放后引入可逆位置扰动，要求恢复布局</x:v>
      </x:c>
      <x:c r="G6" s="24" t="str">
        <x:v>原有3物体关系构造与动作评分代码可复用</x:v>
      </x:c>
      <x:c r="H6" s="24" t="str">
        <x:v>仅原场景和任务定义存在；恢复任务尚无YAML</x:v>
      </x:c>
      <x:c r="I6" s="32" t="str">
        <x:v>P0</x:v>
      </x:c>
      <x:c r="J6" s="24" t="str">
        <x:v>需设计成世界真实状态变化，不能以随机执行故障代替；改动后仍须有合法恢复轨迹</x:v>
      </x:c>
      <x:c r="K6" s="24" t="str">
        <x:v>INCONCLUSIVE (static shortlist)</x:v>
      </x:c>
    </x:row>
    <x:row r="7" ht="66" customHeight="1">
      <x:c r="A7" s="24" t="n">
        <x:v>2</x:v>
      </x:c>
      <x:c r="B7" s="24" t="str">
        <x:v>AP-4</x:v>
      </x:c>
      <x:c r="C7" s="24" t="str">
        <x:v>house_single_floor</x:v>
      </x:c>
      <x:c r="D7" s="24" t="str">
        <x:v>living_room_0</x:v>
      </x:c>
      <x:c r="E7" s="24" t="str">
        <x:v>T32</x:v>
      </x:c>
      <x:c r="F7" s="24" t="str">
        <x:v>接触/分离关系在运行中被外部扰动，Agent重新建立目标关系</x:v>
      </x:c>
      <x:c r="G7" s="24" t="str">
        <x:v>已有二物体关系评分/局部工作区</x:v>
      </x:c>
      <x:c r="H7" s="24" t="str">
        <x:v>同一建筑承载多任务，当前多样性有限</x:v>
      </x:c>
      <x:c r="I7" s="24" t="str">
        <x:v>P1</x:v>
      </x:c>
      <x:c r="J7" s="24" t="str">
        <x:v>初态不能持续满足目标；事件应可观察且可逆</x:v>
      </x:c>
      <x:c r="K7" s="24" t="str">
        <x:v>INCONCLUSIVE (static shortlist)</x:v>
      </x:c>
    </x:row>
    <x:row r="8" ht="66" customHeight="1">
      <x:c r="A8" s="24" t="n">
        <x:v>3</x:v>
      </x:c>
      <x:c r="B8" s="24" t="str">
        <x:v>AP-3</x:v>
      </x:c>
      <x:c r="C8" s="24" t="str">
        <x:v>house_single_floor</x:v>
      </x:c>
      <x:c r="D8" s="24" t="str">
        <x:v>living_room_0</x:v>
      </x:c>
      <x:c r="E8" s="24" t="str">
        <x:v>T42–T44</x:v>
      </x:c>
      <x:c r="F8" s="24" t="str">
        <x:v>保留现有0.4697m斜坡站，改变摩擦/角度让赢家翻转</x:v>
      </x:c>
      <x:c r="G8" s="24" t="str">
        <x:v>原生Trial/Spare及物理试验Evaluator已存在</x:v>
      </x:c>
      <x:c r="H8" s="24" t="str">
        <x:v>历史静态试验中ball在三任务均可正确选择</x:v>
      </x:c>
      <x:c r="I8" s="32" t="str">
        <x:v>P0</x:v>
      </x:c>
      <x:c r="J8" s="24" t="str">
        <x:v>必须真实物理试验、至少两种条件不同唯一赢家</x:v>
      </x:c>
      <x:c r="K8" s="24" t="str">
        <x:v>INCONCLUSIVE (static shortlist)</x:v>
      </x:c>
    </x:row>
    <x:row r="9" ht="66" customHeight="1">
      <x:c r="A9" s="24" t="n">
        <x:v>4</x:v>
      </x:c>
      <x:c r="B9" s="24" t="str">
        <x:v>AP-2</x:v>
      </x:c>
      <x:c r="C9" s="24" t="str">
        <x:v>house_single_floor</x:v>
      </x:c>
      <x:c r="D9" s="24" t="str">
        <x:v>childs_room_0</x:v>
      </x:c>
      <x:c r="E9" s="24" t="str">
        <x:v>T19</x:v>
      </x:c>
      <x:c r="F9" s="24" t="str">
        <x:v>作为局部堆叠构造优先验证场景</x:v>
      </x:c>
      <x:c r="G9" s="24" t="str">
        <x:v>已有堆叠实体/任务合同</x:v>
      </x:c>
      <x:c r="H9" s="24" t="str">
        <x:v>书薄边抓取以及曲面支撑风险</x:v>
      </x:c>
      <x:c r="I9" s="24" t="str">
        <x:v>P1</x:v>
      </x:c>
      <x:c r="J9" s="24" t="str">
        <x:v>真实抓取、释放、稳定；不靠孤立桌面搬运产生虚假难度</x:v>
      </x:c>
      <x:c r="K9" s="24" t="str">
        <x:v>INCONCLUSIVE (static shortlist)</x:v>
      </x:c>
    </x:row>
    <x:row r="10" ht="66" customHeight="1">
      <x:c r="A10" s="24" t="n">
        <x:v>5</x:v>
      </x:c>
      <x:c r="B10" s="24" t="str">
        <x:v>NT-2</x:v>
      </x:c>
      <x:c r="C10" s="24" t="str">
        <x:v>Beechwood_0_int</x:v>
      </x:c>
      <x:c r="D10" s="24" t="str">
        <x:v>full_scene</x:v>
      </x:c>
      <x:c r="E10" s="24" t="str">
        <x:v>T07</x:v>
      </x:c>
      <x:c r="F10" s="24" t="str">
        <x:v>优先短路径多房路线；暂缓43.83m办公室路线</x:v>
      </x:c>
      <x:c r="G10" s="24" t="str">
        <x:v>已知源参考11.361m，6个目标房间</x:v>
      </x:c>
      <x:c r="H10" s="24" t="str">
        <x:v>存储房间仅1.831m²标签面积；真实可通行未知</x:v>
      </x:c>
      <x:c r="I10" s="32" t="str">
        <x:v>P0</x:v>
      </x:c>
      <x:c r="J10" s="24" t="str">
        <x:v>每个狭小房间进出路径与稳定占用必须合格</x:v>
      </x:c>
      <x:c r="K10" s="24" t="str">
        <x:v>INCONCLUSIVE (static shortlist)</x:v>
      </x:c>
    </x:row>
    <x:row r="11" ht="66" customHeight="1">
      <x:c r="A11" s="24" t="n">
        <x:v>6</x:v>
      </x:c>
      <x:c r="B11" s="24" t="str">
        <x:v>NT-3</x:v>
      </x:c>
      <x:c r="C11" s="24" t="str">
        <x:v>restaurant_cafeteria</x:v>
      </x:c>
      <x:c r="D11" s="24" t="str">
        <x:v>full_scene</x:v>
      </x:c>
      <x:c r="E11" s="24" t="str">
        <x:v>T09–T10</x:v>
      </x:c>
      <x:c r="F11" s="24" t="str">
        <x:v>在已有布局修订公开提示，使答案依赖真实观察与到访</x:v>
      </x:c>
      <x:c r="G11" s="24" t="str">
        <x:v>重复房间锚点可用于受控对照</x:v>
      </x:c>
      <x:c r="H11" s="24" t="str">
        <x:v>同栋同场景不是独立空间泛化</x:v>
      </x:c>
      <x:c r="I11" s="24" t="str">
        <x:v>P1</x:v>
      </x:c>
      <x:c r="J11" s="24" t="str">
        <x:v>目标提示不含答案；物理到访须记录</x:v>
      </x:c>
      <x:c r="K11" s="24" t="str">
        <x:v>INCONCLUSIVE (static shortlist)</x:v>
      </x:c>
    </x:row>
    <x:row r="12" ht="66" customHeight="1">
      <x:c r="A12" s="24" t="n">
        <x:v>7</x:v>
      </x:c>
      <x:c r="B12" s="24" t="str">
        <x:v>GF-1</x:v>
      </x:c>
      <x:c r="C12" s="24" t="str">
        <x:v>Ihlen_1_int</x:v>
      </x:c>
      <x:c r="D12" s="24" t="str">
        <x:v>living_room_0</x:v>
      </x:c>
      <x:c r="E12" s="24" t="str">
        <x:v>T24</x:v>
      </x:c>
      <x:c r="F12" s="24" t="str">
        <x:v>容纳场景作为新限口场景的潜在模板</x:v>
      </x:c>
      <x:c r="G12" s="24" t="str">
        <x:v>目标至容器端点距离0.9617m（非可走路径）</x:v>
      </x:c>
      <x:c r="H12" s="24" t="str">
        <x:v>必须测first_aid_kit抓取与入口宽度</x:v>
      </x:c>
      <x:c r="I12" s="32" t="str">
        <x:v>P0</x:v>
      </x:c>
      <x:c r="J12" s="24" t="str">
        <x:v>真实可夹+可进入+可释放撤手</x:v>
      </x:c>
      <x:c r="K12" s="24" t="str">
        <x:v>INCONCLUSIVE (static shortlist)</x:v>
      </x:c>
    </x:row>
    <x:row r="13" ht="66" customHeight="1">
      <x:c r="A13" s="24" t="n">
        <x:v>8</x:v>
      </x:c>
      <x:c r="B13" s="24" t="str">
        <x:v>GF-2</x:v>
      </x:c>
      <x:c r="C13" s="24" t="str">
        <x:v>Beechwood_0_garden</x:v>
      </x:c>
      <x:c r="D13" s="24" t="str">
        <x:v>utility_room_0</x:v>
      </x:c>
      <x:c r="E13" s="24" t="str">
        <x:v>T26</x:v>
      </x:c>
      <x:c r="F13" s="24" t="str">
        <x:v>优先D1宽度限口：在原几何工作区上构建局部工装</x:v>
      </x:c>
      <x:c r="G13" s="24" t="str">
        <x:v>已有3目标几何摆放和工作面信息</x:v>
      </x:c>
      <x:c r="H13" s="24" t="str">
        <x:v>工作面净空未测，狭口装置待建</x:v>
      </x:c>
      <x:c r="I13" s="32" t="str">
        <x:v>P0</x:v>
      </x:c>
      <x:c r="J13" s="24" t="str">
        <x:v>3候选唯一可行；全朝向碰撞+手部撤离检查</x:v>
      </x:c>
      <x:c r="K13" s="24" t="str">
        <x:v>INCONCLUSIVE (static shortlist)</x:v>
      </x:c>
    </x:row>
    <x:row r="14" ht="66" customHeight="1">
      <x:c r="A14" s="24" t="n">
        <x:v>9</x:v>
      </x:c>
      <x:c r="B14" s="24" t="str">
        <x:v>GF-2</x:v>
      </x:c>
      <x:c r="C14" s="24" t="str">
        <x:v>Merom_0_garden</x:v>
      </x:c>
      <x:c r="D14" s="24" t="str">
        <x:v>utility_room_0</x:v>
      </x:c>
      <x:c r="E14" s="24" t="str">
        <x:v>T01</x:v>
      </x:c>
      <x:c r="F14" s="24" t="str">
        <x:v>D1宽高双约束第二候选：借用局部多物体工作区</x:v>
      </x:c>
      <x:c r="G14" s="24" t="str">
        <x:v>有5件候选与物理堆叠源布局</x:v>
      </x:c>
      <x:c r="H14" s="24" t="str">
        <x:v>原篮子开口和滚动相关，不能默认适配插槽</x:v>
      </x:c>
      <x:c r="I14" s="24" t="str">
        <x:v>P1</x:v>
      </x:c>
      <x:c r="J14" s="24" t="str">
        <x:v>高/宽两个因素独立改变可行性，避免只按总体大小排序</x:v>
      </x:c>
      <x:c r="K14" s="24" t="str">
        <x:v>INCONCLUSIVE (static shortlist)</x:v>
      </x:c>
    </x:row>
    <x:row r="15" ht="66" customHeight="1">
      <x:c r="A15" s="24" t="n">
        <x:v>10</x:v>
      </x:c>
      <x:c r="B15" s="24" t="str">
        <x:v>GF-3</x:v>
      </x:c>
      <x:c r="C15" s="24" t="str">
        <x:v>Beechwood_0_garden</x:v>
      </x:c>
      <x:c r="D15" s="24" t="str">
        <x:v>kitchen_0</x:v>
      </x:c>
      <x:c r="E15" s="24" t="str">
        <x:v>T28</x:v>
      </x:c>
      <x:c r="F15" s="24" t="str">
        <x:v>D2高度排序先建立3物体/3槽的可执行基准</x:v>
      </x:c>
      <x:c r="G15" s="24" t="str">
        <x:v>三物体物理排列已存在</x:v>
      </x:c>
      <x:c r="H15" s="24" t="str">
        <x:v>拥挤厨房后侧目标抓取需核查</x:v>
      </x:c>
      <x:c r="I15" s="32" t="str">
        <x:v>P0</x:v>
      </x:c>
      <x:c r="J15" s="24" t="str">
        <x:v>正确排序与稳定release，排除固定位置记忆</x:v>
      </x:c>
      <x:c r="K15" s="24" t="str">
        <x:v>INCONCLUSIVE (static shortlist)</x:v>
      </x:c>
    </x:row>
    <x:row r="16" ht="66" customHeight="1">
      <x:c r="A16" s="24" t="n">
        <x:v>11</x:v>
      </x:c>
      <x:c r="B16" s="24" t="str">
        <x:v>GF-3</x:v>
      </x:c>
      <x:c r="C16" s="24" t="str">
        <x:v>office_cubicles_right</x:v>
      </x:c>
      <x:c r="D16" s="24" t="str">
        <x:v>lobby_0</x:v>
      </x:c>
      <x:c r="E16" s="24" t="str">
        <x:v>T20</x:v>
      </x:c>
      <x:c r="F16" s="24" t="str">
        <x:v>D2四物体宽度排序的场景备选/压力样本</x:v>
      </x:c>
      <x:c r="G16" s="24" t="str">
        <x:v>已有场景及支持物</x:v>
      </x:c>
      <x:c r="H16" s="24" t="str">
        <x:v>大型mixing_bowl与通道冲突风险</x:v>
      </x:c>
      <x:c r="I16" s="24" t="str">
        <x:v>P2</x:v>
      </x:c>
      <x:c r="J16" s="24" t="str">
        <x:v>先让三物体对照在低成本场景跑通</x:v>
      </x:c>
      <x:c r="K16" s="24" t="str">
        <x:v>INCONCLUSIVE (static shortlist)</x:v>
      </x:c>
    </x:row>
    <x:row r="17" ht="66" customHeight="1">
      <x:c r="A17" s="24" t="n">
        <x:v>12</x:v>
      </x:c>
      <x:c r="B17" s="24" t="str">
        <x:v>SR-3</x:v>
      </x:c>
      <x:c r="C17" s="24" t="str">
        <x:v>Merom_0_garden</x:v>
      </x:c>
      <x:c r="D17" s="24" t="str">
        <x:v>living_room_0</x:v>
      </x:c>
      <x:c r="E17" s="24" t="str">
        <x:v>R-S1</x:v>
      </x:c>
      <x:c r="F17" s="24" t="str">
        <x:v>镜像下两对象距离次序反转</x:v>
      </x:c>
      <x:c r="G17" s="24" t="str">
        <x:v>已有原ESI镜像源和reflection_spatial_relations converter</x:v>
      </x:c>
      <x:c r="H17" s="24" t="str">
        <x:v>任务动作版未落地；低位目标可操作性未知</x:v>
      </x:c>
      <x:c r="I17" s="32" t="str">
        <x:v>P0</x:v>
      </x:c>
      <x:c r="J17" s="24" t="str">
        <x:v>固定源参考，真实镜面可见，反转在原物理空间成立</x:v>
      </x:c>
      <x:c r="K17" s="24" t="str">
        <x:v>INCONCLUSIVE (static shortlist)</x:v>
      </x:c>
    </x:row>
    <x:row r="18" ht="66" customHeight="1">
      <x:c r="A18" s="24" t="n">
        <x:v>13</x:v>
      </x:c>
      <x:c r="B18" s="24" t="str">
        <x:v>GG-3</x:v>
      </x:c>
      <x:c r="C18" s="24" t="str">
        <x:v>Ihlen_0_int</x:v>
      </x:c>
      <x:c r="D18" s="24" t="str">
        <x:v>garage_0</x:v>
      </x:c>
      <x:c r="E18" s="24" t="str">
        <x:v>R-C1</x:v>
      </x:c>
      <x:c r="F18" s="24" t="str">
        <x:v>3同类实体的镜像对应后真实交付</x:v>
      </x:c>
      <x:c r="G18" s="24" t="str">
        <x:v>原ESI source+reflection_correspondence converter</x:v>
      </x:c>
      <x:c r="H18" s="24" t="str">
        <x:v>原实体visual_only且低位放置</x:v>
      </x:c>
      <x:c r="I18" s="32" t="str">
        <x:v>P0</x:v>
      </x:c>
      <x:c r="J18" s="24" t="str">
        <x:v>正确对象镜中唯一标识，改成物理实体后无阻挡可抓</x:v>
      </x:c>
      <x:c r="K18" s="24" t="str">
        <x:v>INCONCLUSIVE (static shortlist)</x:v>
      </x:c>
    </x:row>
    <x:row r="19" ht="66" customHeight="1">
      <x:c r="A19" s="24" t="n">
        <x:v>14</x:v>
      </x:c>
      <x:c r="B19" s="24" t="str">
        <x:v>GG-3</x:v>
      </x:c>
      <x:c r="C19" s="24" t="str">
        <x:v>Beechwood_0_garden</x:v>
      </x:c>
      <x:c r="D19" s="24" t="str">
        <x:v>living_room_0</x:v>
      </x:c>
      <x:c r="E19" s="24" t="str">
        <x:v>R-C3</x:v>
      </x:c>
      <x:c r="F19" s="24" t="str">
        <x:v>第二个镜像对应场景</x:v>
      </x:c>
      <x:c r="G19" s="24" t="str">
        <x:v>ESI已有三候选镜面构造</x:v>
      </x:c>
      <x:c r="H19" s="24" t="str">
        <x:v>可能出现正面纹理/固定位置直接泄露</x:v>
      </x:c>
      <x:c r="I19" s="24" t="str">
        <x:v>P1</x:v>
      </x:c>
      <x:c r="J19" s="24" t="str">
        <x:v>实际镜像信息必要，配对非镜像对照</x:v>
      </x:c>
      <x:c r="K19" s="24" t="str">
        <x:v>INCONCLUSIVE (static shortlist)</x:v>
      </x:c>
    </x:row>
    <x:row r="20" ht="66" customHeight="1">
      <x:c r="A20" s="24" t="n">
        <x:v>15</x:v>
      </x:c>
      <x:c r="B20" s="24" t="str">
        <x:v>GG-3</x:v>
      </x:c>
      <x:c r="C20" s="24" t="str">
        <x:v>restaurant_hotel</x:v>
      </x:c>
      <x:c r="D20" s="24" t="str">
        <x:v>dining_room_0</x:v>
      </x:c>
      <x:c r="E20" s="24" t="str">
        <x:v>R-A2</x:v>
      </x:c>
      <x:c r="F20" s="24" t="str">
        <x:v>真实直视No分支做镜面条件动作的控制任务</x:v>
      </x:c>
      <x:c r="G20" s="24" t="str">
        <x:v>原Reflection Authoring源场景存在</x:v>
      </x:c>
      <x:c r="H20" s="24" t="str">
        <x:v>低位远距离可能超出观测/拾取可达域</x:v>
      </x:c>
      <x:c r="I20" s="24" t="str">
        <x:v>P1</x:v>
      </x:c>
      <x:c r="J20" s="24" t="str">
        <x:v>从正确分支完成物理交付，不是只答No</x:v>
      </x:c>
      <x:c r="K20" s="24" t="str">
        <x:v>INCONCLUSIVE (static shortlist)</x:v>
      </x:c>
    </x:row>
    <x:row r="21" ht="66" customHeight="1">
      <x:c r="A21" s="24" t="n">
        <x:v>16</x:v>
      </x:c>
      <x:c r="B21" s="24" t="str">
        <x:v>GG-3</x:v>
      </x:c>
      <x:c r="C21" s="24" t="str">
        <x:v>Beechwood_0_garden</x:v>
      </x:c>
      <x:c r="D21" s="24" t="str">
        <x:v>dining_room_0</x:v>
      </x:c>
      <x:c r="E21" s="24" t="str">
        <x:v>ESI Reflection Authoring/q_004</x:v>
      </x:c>
      <x:c r="F21" s="24" t="str">
        <x:v>替代R-A1重合位姿：正样本先候选</x:v>
      </x:c>
      <x:c r="G21" s="24" t="str">
        <x:v>对应scene_import确实在固定代码版本存在</x:v>
      </x:c>
      <x:c r="H21" s="24" t="str">
        <x:v>只确认源YAML待转换；不能推论机器人可达</x:v>
      </x:c>
      <x:c r="I21" s="24" t="str">
        <x:v>P1</x:v>
      </x:c>
      <x:c r="J21" s="24" t="str">
        <x:v>先检查相机/物体零交叠、真实反射光学和可执行性</x:v>
      </x:c>
      <x:c r="K21" s="24" t="str">
        <x:v>INCONCLUSIVE (static shortlist)</x:v>
      </x:c>
    </x:row>
    <x:row r="22" ht="66" customHeight="1">
      <x:c r="A22" s="24" t="n">
        <x:v>17</x:v>
      </x:c>
      <x:c r="B22" s="24" t="str">
        <x:v>GG-4</x:v>
      </x:c>
      <x:c r="C22" s="24" t="str">
        <x:v>Beechwood_0_garden</x:v>
      </x:c>
      <x:c r="D22" s="24" t="str">
        <x:v>dining_room_0</x:v>
      </x:c>
      <x:c r="E22" s="24" t="str">
        <x:v>T15</x:v>
      </x:c>
      <x:c r="F22" s="24" t="str">
        <x:v>透明内外状态识别+实际插入/保持</x:v>
      </x:c>
      <x:c r="G22" s="24" t="str">
        <x:v>现有container source/Task/Converter可沿用</x:v>
      </x:c>
      <x:c r="H22" s="24" t="str">
        <x:v>清洁瓶窄口不保证番茄能穿过</x:v>
      </x:c>
      <x:c r="I22" s="32" t="str">
        <x:v>P0</x:v>
      </x:c>
      <x:c r="J22" s="24" t="str">
        <x:v>先选真实可过的宽口资产，初态做inside/outside反事实对照</x:v>
      </x:c>
      <x:c r="K22" s="24" t="str">
        <x:v>INCONCLUSIVE (static shortlist)</x:v>
      </x:c>
    </x:row>
    <x:row r="23" ht="66" customHeight="1">
      <x:c r="A23" s="24" t="n">
        <x:v>18</x:v>
      </x:c>
      <x:c r="B23" s="24" t="str">
        <x:v>GG-2</x:v>
      </x:c>
      <x:c r="C23" s="24" t="str">
        <x:v>hall_arch_wood</x:v>
      </x:c>
      <x:c r="D23" s="24" t="str">
        <x:v>empty_room_0</x:v>
      </x:c>
      <x:c r="E23" s="24" t="str">
        <x:v>T50</x:v>
      </x:c>
      <x:c r="F23" s="24" t="str">
        <x:v>布料揭示后区分目标/干扰并取回</x:v>
      </x:c>
      <x:c r="G23" s="24" t="str">
        <x:v>已有cloth交互动作目标和native评分模块</x:v>
      </x:c>
      <x:c r="H23" s="24" t="str">
        <x:v>需要确认真实cloth接触/移动/目标没有被带走</x:v>
      </x:c>
      <x:c r="I23" s="24" t="str">
        <x:v>P1</x:v>
      </x:c>
      <x:c r="J23" s="24" t="str">
        <x:v>遮盖有效、非rigid proxy、真实grasp且无oracle泄露</x:v>
      </x:c>
      <x:c r="K23" s="24" t="str">
        <x:v>INCONCLUSIVE (static shortlist)</x:v>
      </x:c>
    </x:row>
    <x:row r="24" ht="66" customHeight="1">
      <x:c r="A24" s="24" t="n">
        <x:v>19</x:v>
      </x:c>
      <x:c r="B24" s="24" t="str">
        <x:v>TM-2</x:v>
      </x:c>
      <x:c r="C24" s="24" t="str">
        <x:v>house_single_floor</x:v>
      </x:c>
      <x:c r="D24" s="24" t="str">
        <x:v>dining_room_0</x:v>
      </x:c>
      <x:c r="E24" s="24" t="str">
        <x:v>T40–T41,T45–T48</x:v>
      </x:c>
      <x:c r="F24" s="24" t="str">
        <x:v>保留三盒+spare表的同一布局，随机化Phase1/event使需要历史</x:v>
      </x:c>
      <x:c r="G24" s="24" t="str">
        <x:v>已有二阶段和每类变更操作评分</x:v>
      </x:c>
      <x:c r="H24" s="24" t="str">
        <x:v>固定左shaker/右空会给出固定答案</x:v>
      </x:c>
      <x:c r="I24" s="32" t="str">
        <x:v>P0</x:v>
      </x:c>
      <x:c r="J24" s="24" t="str">
        <x:v>配对试验：当前观测类似但正确操作因历史不同</x:v>
      </x:c>
      <x:c r="K24" s="24" t="str">
        <x:v>INCONCLUSIVE (static shortlist)</x:v>
      </x:c>
    </x:row>
    <x:row r="25" ht="66" customHeight="1">
      <x:c r="A25" s="24" t="n">
        <x:v>20</x:v>
      </x:c>
      <x:c r="B25" s="24" t="str">
        <x:v>GG-1</x:v>
      </x:c>
      <x:c r="C25" s="24" t="str">
        <x:v>house_single_floor</x:v>
      </x:c>
      <x:c r="D25" s="24" t="str">
        <x:v>living_room_0</x:v>
      </x:c>
      <x:c r="E25" s="24" t="str">
        <x:v>T35</x:v>
      </x:c>
      <x:c r="F25" s="24" t="str">
        <x:v>单房三目标搜集作为低成本起始基线</x:v>
      </x:c>
      <x:c r="G25" s="24" t="str">
        <x:v>3目标+4语义货架+托盘</x:v>
      </x:c>
      <x:c r="H25" s="24" t="str">
        <x:v>右手托盘/左手抓放全部真实可行性待测</x:v>
      </x:c>
      <x:c r="I25" s="24" t="str">
        <x:v>P1</x:v>
      </x:c>
      <x:c r="J25" s="24" t="str">
        <x:v>与T36跨房、T37干扰设置分开归因</x:v>
      </x:c>
      <x:c r="K25" s="24" t="str">
        <x:v>INCONCLUSIVE (static shortlist)</x:v>
      </x:c>
    </x:row>
    <x:row r="26" ht="66" customHeight="1">
      <x:c r="A26" s="24" t="n">
        <x:v>21</x:v>
      </x:c>
      <x:c r="B26" s="24" t="str">
        <x:v>GG-1</x:v>
      </x:c>
      <x:c r="C26" s="24" t="str">
        <x:v>Beechwood_0_int</x:v>
      </x:c>
      <x:c r="D26" s="24" t="str">
        <x:v>living_room_1</x:v>
      </x:c>
      <x:c r="E26" s="24" t="str">
        <x:v>T37</x:v>
      </x:c>
      <x:c r="F26" s="24" t="str">
        <x:v>相似干扰身份的单房收集压力样本</x:v>
      </x:c>
      <x:c r="G26" s="24" t="str">
        <x:v>5目标+2显式干扰+3货架+1托盘</x:v>
      </x:c>
      <x:c r="H26" s="24" t="str">
        <x:v>5次操作累积失败率高</x:v>
      </x:c>
      <x:c r="I26" s="24" t="str">
        <x:v>P2</x:v>
      </x:c>
      <x:c r="J26" s="24" t="str">
        <x:v>报告识别错误和运动失败，不只总体任务成功</x:v>
      </x:c>
      <x:c r="K26" s="24" t="str">
        <x:v>INCONCLUSIVE (static shortlist)</x:v>
      </x:c>
    </x:row>
  </x:sheetData>
  <x:mergeCells>
    <x:mergeCell ref="A1:K2"/>
    <x:mergeCell ref="A3:K3"/>
  </x:mergeCells>
  <x:pageMargins left="0.7" right="0.7" top="0.75" bottom="0.75" header="0.3" footer="0.3"/>
  <x:tableParts count="1">
    <x:tablePart xmlns:r="http://schemas.openxmlformats.org/officeDocument/2006/relationships" r:id="Rdd7f1ddb49964d6c"/>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29" hidden="0" customWidth="1"/>
    <x:col min="3" max="3" width="98" hidden="0" customWidth="1"/>
    <x:col min="4" max="4" width="91" hidden="0" customWidth="1"/>
    <x:col min="5" max="5" width="17" hidden="0" customWidth="1"/>
    <x:col min="6" max="6" width="29" hidden="0" customWidth="1"/>
  </x:cols>
  <x:sheetData>
    <x:row r="1" ht="24" customHeight="1">
      <x:c r="A1" s="4" t="str">
        <x:v>SCENE SCREENING METRICS | DO NOT GUESS MISSING VALUES</x:v>
      </x:c>
      <x:c r="B1" s="4"/>
      <x:c r="C1" s="4"/>
      <x:c r="D1" s="4"/>
      <x:c r="E1" s="4"/>
      <x:c r="F1" s="4"/>
    </x:row>
    <x:row r="2" ht="24" customHeight="1">
      <x:c r="A2" s="4"/>
      <x:c r="B2" s="4"/>
      <x:c r="C2" s="4"/>
      <x:c r="D2" s="4"/>
      <x:c r="E2" s="4"/>
      <x:c r="F2" s="4"/>
    </x:row>
    <x:row r="3" ht="30" customHeight="1">
      <x:c r="A3" s="10" t="str">
        <x:v>G0–G10 hard/soft gates. 特别区分A_loaded/A_nav/A_task、目标数/干扰数/支持体数、源欧距/真实路径。</x:v>
      </x:c>
      <x:c r="B3" s="10"/>
      <x:c r="C3" s="10"/>
      <x:c r="D3" s="10"/>
      <x:c r="E3" s="10"/>
      <x:c r="F3" s="10"/>
    </x:row>
    <x:row r="5" ht="32" customHeight="1">
      <x:c r="A5" s="17" t="str">
        <x:v>Metric ID</x:v>
      </x:c>
      <x:c r="B5" s="17" t="str">
        <x:v>Gate name</x:v>
      </x:c>
      <x:c r="C5" s="17" t="str">
        <x:v>Operational definition</x:v>
      </x:c>
      <x:c r="D5" s="17" t="str">
        <x:v>Required measurement</x:v>
      </x:c>
      <x:c r="E5" s="17" t="str">
        <x:v>Severity</x:v>
      </x:c>
      <x:c r="F5" s="17" t="str">
        <x:v>Current global status</x:v>
      </x:c>
    </x:row>
    <x:row r="6" ht="70" customHeight="1">
      <x:c r="A6" s="24" t="str">
        <x:v>G0</x:v>
      </x:c>
      <x:c r="B6" s="24" t="str">
        <x:v>Science/Shortcut</x:v>
      </x:c>
      <x:c r="C6" s="24" t="str">
        <x:v>任务存在单一可验证认知挑战；初态不能直接泄露答案</x:v>
      </x:c>
      <x:c r="D6" s="24" t="str">
        <x:v>初态视图、无历史/无交互/固定策略基线</x:v>
      </x:c>
      <x:c r="E6" s="24" t="str">
        <x:v>硬门槛</x:v>
      </x:c>
      <x:c r="F6" s="24" t="str">
        <x:v>Unknown/Pass/Fail</x:v>
      </x:c>
    </x:row>
    <x:row r="7" ht="70" customHeight="1">
      <x:c r="A7" s="24" t="str">
        <x:v>G1</x:v>
      </x:c>
      <x:c r="B7" s="24" t="str">
        <x:v>Native Loadability</x:v>
      </x:c>
      <x:c r="C7" s="24" t="str">
        <x:v>真实source/scene assets和原物体装载；无穿模、悬浮或先天任务已完成</x:v>
      </x:c>
      <x:c r="D7" s="24" t="str">
        <x:v>原生OmniGibson scene initialization+settle</x:v>
      </x:c>
      <x:c r="E7" s="24" t="str">
        <x:v>硬门槛</x:v>
      </x:c>
      <x:c r="F7" s="24" t="str">
        <x:v>Unknown/Pass/Fail</x:v>
      </x:c>
    </x:row>
    <x:row r="8" ht="70" customHeight="1">
      <x:c r="A8" s="24" t="str">
        <x:v>G2</x:v>
      </x:c>
      <x:c r="B8" s="24" t="str">
        <x:v>Actual Geometry</x:v>
      </x:c>
      <x:c r="C8" s="24" t="str">
        <x:v>机器人可通行面积 A_nav、物体/工作区范围 A_task、真实最短可行路长</x:v>
      </x:c>
      <x:c r="D8" s="24" t="str">
        <x:v>floor map+R1 chassis膨胀、实际路径搜索</x:v>
      </x:c>
      <x:c r="E8" s="24" t="str">
        <x:v>硬门槛</x:v>
      </x:c>
      <x:c r="F8" s="24" t="str">
        <x:v>Unknown/Pass/Fail</x:v>
      </x:c>
    </x:row>
    <x:row r="9" ht="70" customHeight="1">
      <x:c r="A9" s="24" t="str">
        <x:v>G3</x:v>
      </x:c>
      <x:c r="B9" s="24" t="str">
        <x:v>Relevant Entity Inventory</x:v>
      </x:c>
      <x:c r="C9" s="24" t="str">
        <x:v>目标/选项/干扰/容器/支持台/可动物品分别计数;不以prim数冒充</x:v>
      </x:c>
      <x:c r="D9" s="24" t="str">
        <x:v>Task binding registry + native object registry</x:v>
      </x:c>
      <x:c r="E9" s="24" t="str">
        <x:v>硬门槛</x:v>
      </x:c>
      <x:c r="F9" s="24" t="str">
        <x:v>Unknown/Pass/Fail</x:v>
      </x:c>
    </x:row>
    <x:row r="10" ht="70" customHeight="1">
      <x:c r="A10" s="24" t="str">
        <x:v>G4</x:v>
      </x:c>
      <x:c r="B10" s="24" t="str">
        <x:v>Reachability &amp; Grasp</x:v>
      </x:c>
      <x:c r="C10" s="24" t="str">
        <x:v>至少一个从机器人真实初始姿态出发的操作姿态，夹爪/臂、碰撞、抬升可行</x:v>
      </x:c>
      <x:c r="D10" s="24" t="str">
        <x:v>R1动作+IK/碰撞+抓取与释放</x:v>
      </x:c>
      <x:c r="E10" s="24" t="str">
        <x:v>硬门槛</x:v>
      </x:c>
      <x:c r="F10" s="24" t="str">
        <x:v>Unknown/Pass/Fail</x:v>
      </x:c>
    </x:row>
    <x:row r="11" ht="70" customHeight="1">
      <x:c r="A11" s="24" t="str">
        <x:v>G5</x:v>
      </x:c>
      <x:c r="B11" s="24" t="str">
        <x:v>Whole Action Feasibility</x:v>
      </x:c>
      <x:c r="C11" s="24" t="str">
        <x:v>必须检查pickup→transport→insert/stack→release→withdraw，含特殊关门/布料动作</x:v>
      </x:c>
      <x:c r="D11" s="24" t="str">
        <x:v>一条合法完整物理参考轨迹</x:v>
      </x:c>
      <x:c r="E11" s="24" t="str">
        <x:v>硬门槛</x:v>
      </x:c>
      <x:c r="F11" s="24" t="str">
        <x:v>Unknown/Pass/Fail</x:v>
      </x:c>
    </x:row>
    <x:row r="12" ht="70" customHeight="1">
      <x:c r="A12" s="24" t="str">
        <x:v>G6</x:v>
      </x:c>
      <x:c r="B12" s="24" t="str">
        <x:v>Agent Sensor Evidence</x:v>
      </x:c>
      <x:c r="C12" s="24" t="str">
        <x:v>所有必要证据能从正式8路相机或允许动作获得；human-only不计</x:v>
      </x:c>
      <x:c r="D12" s="24" t="str">
        <x:v>实际agent frame/camera matrix/光学ray检查</x:v>
      </x:c>
      <x:c r="E12" s="24" t="str">
        <x:v>硬门槛</x:v>
      </x:c>
      <x:c r="F12" s="24" t="str">
        <x:v>Unknown/Pass/Fail</x:v>
      </x:c>
    </x:row>
    <x:row r="13" ht="70" customHeight="1">
      <x:c r="A13" s="24" t="str">
        <x:v>G7</x:v>
      </x:c>
      <x:c r="B13" s="24" t="str">
        <x:v>Evaluator Fidelity</x:v>
      </x:c>
      <x:c r="C13" s="24" t="str">
        <x:v>原生世界状态验证，目标谓词不依赖Agent自报完成</x:v>
      </x:c>
      <x:c r="D13" s="24" t="str">
        <x:v>native scorer与物理结果审计</x:v>
      </x:c>
      <x:c r="E13" s="24" t="str">
        <x:v>硬门槛</x:v>
      </x:c>
      <x:c r="F13" s="24" t="str">
        <x:v>Unknown/Pass/Fail</x:v>
      </x:c>
    </x:row>
    <x:row r="14" ht="70" customHeight="1">
      <x:c r="A14" s="24" t="str">
        <x:v>G8</x:v>
      </x:c>
      <x:c r="B14" s="24" t="str">
        <x:v>Task Independent Mechanism</x:v>
      </x:c>
      <x:c r="C14" s="24" t="str">
        <x:v>同scene不同任务可有控制条件但不要宣传成独立scene</x:v>
      </x:c>
      <x:c r="D14" s="24" t="str">
        <x:v>多变量机制/对照与数据集family ID</x:v>
      </x:c>
      <x:c r="E14" s="24" t="str">
        <x:v>软优先</x:v>
      </x:c>
      <x:c r="F14" s="24" t="str">
        <x:v>Unknown/Pass/Fail</x:v>
      </x:c>
    </x:row>
    <x:row r="15" ht="70" customHeight="1">
      <x:c r="A15" s="24" t="str">
        <x:v>G9</x:v>
      </x:c>
      <x:c r="B15" s="24" t="str">
        <x:v>Cost and Scale</x:v>
      </x:c>
      <x:c r="C15" s="24" t="str">
        <x:v>启动时间、wall time、sim time、Agent decisions、路径与显存</x:v>
      </x:c>
      <x:c r="D15" s="24" t="str">
        <x:v>episode receipts，记录median/P90</x:v>
      </x:c>
      <x:c r="E15" s="24" t="str">
        <x:v>软优先</x:v>
      </x:c>
      <x:c r="F15" s="24" t="str">
        <x:v>Unknown/Pass/Fail</x:v>
      </x:c>
    </x:row>
    <x:row r="16" ht="70" customHeight="1">
      <x:c r="A16" s="24" t="str">
        <x:v>G10</x:v>
      </x:c>
      <x:c r="B16" s="24" t="str">
        <x:v>Versioned Provenance</x:v>
      </x:c>
      <x:c r="C16" s="24" t="str">
        <x:v>Source, modified Scene, Task Definition, seeds, scorer, observation protocol版本分离</x:v>
      </x:c>
      <x:c r="D16" s="24" t="str">
        <x:v>manifest/provenance</x:v>
      </x:c>
      <x:c r="E16" s="24" t="str">
        <x:v>硬门槛</x:v>
      </x:c>
      <x:c r="F16" s="24" t="str">
        <x:v>Unknown/Pass/Fail</x:v>
      </x:c>
    </x:row>
  </x:sheetData>
  <x:mergeCells>
    <x:mergeCell ref="A1:F2"/>
    <x:mergeCell ref="A3:F3"/>
  </x:mergeCells>
  <x:pageMargins left="0.7" right="0.7" top="0.75" bottom="0.75" header="0.3" footer="0.3"/>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34" hidden="0" customWidth="1"/>
    <x:col min="3" max="3" width="88" hidden="0" customWidth="1"/>
    <x:col min="4" max="4" width="79" hidden="0" customWidth="1"/>
    <x:col min="5" max="5" width="87" hidden="0" customWidth="1"/>
    <x:col min="6" max="6" width="34" hidden="0" customWidth="1"/>
  </x:cols>
  <x:sheetData>
    <x:row r="1" ht="24" customHeight="1">
      <x:c r="A1" s="4" t="str">
        <x:v>EXECUTION ORDER | TAXONOMY → REUSE → SCENE → TASK</x:v>
      </x:c>
      <x:c r="B1" s="4"/>
      <x:c r="C1" s="4"/>
      <x:c r="D1" s="4"/>
      <x:c r="E1" s="4"/>
      <x:c r="F1" s="4"/>
    </x:row>
    <x:row r="2" ht="24" customHeight="1">
      <x:c r="A2" s="4"/>
      <x:c r="B2" s="4"/>
      <x:c r="C2" s="4"/>
      <x:c r="D2" s="4"/>
      <x:c r="E2" s="4"/>
      <x:c r="F2" s="4"/>
    </x:row>
    <x:row r="3" ht="30" customHeight="1">
      <x:c r="A3" s="10" t="str">
        <x:v>流程顺序冻结，任务计数、最终场景和v1发布日期不预先许诺。</x:v>
      </x:c>
      <x:c r="B3" s="10"/>
      <x:c r="C3" s="10"/>
      <x:c r="D3" s="10"/>
      <x:c r="E3" s="10"/>
      <x:c r="F3" s="10"/>
    </x:row>
    <x:row r="5" ht="32" customHeight="1">
      <x:c r="A5" s="17" t="str">
        <x:v>Step</x:v>
      </x:c>
      <x:c r="B5" s="17" t="str">
        <x:v>Name</x:v>
      </x:c>
      <x:c r="C5" s="17" t="str">
        <x:v>Scope</x:v>
      </x:c>
      <x:c r="D5" s="17" t="str">
        <x:v>Artifact/Deliverable</x:v>
      </x:c>
      <x:c r="E5" s="17" t="str">
        <x:v>Acceptance gate</x:v>
      </x:c>
      <x:c r="F5" s="17" t="str">
        <x:v>This-review state</x:v>
      </x:c>
    </x:row>
    <x:row r="6" ht="75" customHeight="1">
      <x:c r="A6" s="24" t="str">
        <x:v>1</x:v>
      </x:c>
      <x:c r="B6" s="24" t="str">
        <x:v>Freeze Taxonomy</x:v>
      </x:c>
      <x:c r="C6" s="24" t="str">
        <x:v>锁定6大类/19子类与ID、定义必要的行为和物理终态；不锁死任务数</x:v>
      </x:c>
      <x:c r="D6" s="24" t="str">
        <x:v>taxonomy_v1.yaml + all61归类 + 能力多标签</x:v>
      </x:c>
      <x:c r="E6" s="24" t="str">
        <x:v>所有61已有候选恰好一个primary；未来新增只填槽</x:v>
      </x:c>
      <x:c r="F6" s="24" t="str">
        <x:v>本轮已完成静态版本</x:v>
      </x:c>
    </x:row>
    <x:row r="7" ht="75" customHeight="1">
      <x:c r="A7" s="24" t="str">
        <x:v>2</x:v>
      </x:c>
      <x:c r="B7" s="24" t="str">
        <x:v>Reuse CoreV2</x:v>
      </x:c>
      <x:c r="C7" s="24" t="str">
        <x:v>优先R0与R1；R2仅改关键语义/物理问题，不重建相同对象和场景</x:v>
      </x:c>
      <x:c r="D7" s="24" t="str">
        <x:v>48项CoreV2重用分级与变更清单</x:v>
      </x:c>
      <x:c r="E7" s="24" t="str">
        <x:v>保留原源码路径/ID/ESI provenance；Evaluator可测</x:v>
      </x:c>
      <x:c r="F7" s="24" t="str">
        <x:v>本轮完成静态review，未改GitHub</x:v>
      </x:c>
    </x:row>
    <x:row r="8" ht="75" customHeight="1">
      <x:c r="A8" s="24" t="str">
        <x:v>3</x:v>
      </x:c>
      <x:c r="B8" s="24" t="str">
        <x:v>Pick Scenes for Gaps</x:v>
      </x:c>
      <x:c r="C8" s="24" t="str">
        <x:v>先按空缺或薄弱机制提出源，再筛R1可达、目标物体、镜像/尺寸等能力证据</x:v>
      </x:c>
      <x:c r="D8" s="24" t="str">
        <x:v>shortlist按优先级；G0–G10门槛</x:v>
      </x:c>
      <x:c r="E8" s="24" t="str">
        <x:v>不存在合法物理解时不构造任务；Unknown不得当PASS</x:v>
      </x:c>
      <x:c r="F8" s="24" t="str">
        <x:v>已给候选清单；Native尚未运行</x:v>
      </x:c>
    </x:row>
    <x:row r="9" ht="75" customHeight="1">
      <x:c r="A9" s="24" t="str">
        <x:v>4</x:v>
      </x:c>
      <x:c r="B9" s="24" t="str">
        <x:v>Build &amp; Verify Remaining Tasks</x:v>
      </x:c>
      <x:c r="C9" s="24" t="str">
        <x:v>在通过门槛的场景中创建task/scene/evaluator及counterfactual条件</x:v>
      </x:c>
      <x:c r="D9" s="24" t="str">
        <x:v>Mirror8、Size5、Recovery1及针对性CoreV2修复</x:v>
      </x:c>
      <x:c r="E9" s="24" t="str">
        <x:v>真实合法成功路径、独立评分、正式8路输入、预算收据</x:v>
      </x:c>
      <x:c r="F9" s="24" t="str">
        <x:v>待具备计算环境后实现/原生验证</x:v>
      </x:c>
    </x:row>
    <x:row r="10" ht="75" customHeight="1">
      <x:c r="A10" s="24" t="str">
        <x:v>5</x:v>
      </x:c>
      <x:c r="B10" s="24" t="str">
        <x:v>Publish V1</x:v>
      </x:c>
      <x:c r="C10" s="24" t="str">
        <x:v>只将通过原生和科学门槛的任务纳入主集；Beta与Stress另列</x:v>
      </x:c>
      <x:c r="D10" s="24" t="str">
        <x:v>v1.0 task registry, tasks, cost report, three baselines</x:v>
      </x:c>
      <x:c r="E10" s="24" t="str">
        <x:v>数量如实报告，版本冻结；v2新增不改旧榜</x:v>
      </x:c>
      <x:c r="F10" s="24" t="str">
        <x:v>预印本发布阶段</x:v>
      </x:c>
    </x:row>
  </x:sheetData>
  <x:mergeCells>
    <x:mergeCell ref="A1:F2"/>
    <x:mergeCell ref="A3:F3"/>
  </x:mergeCells>
  <x:pageMargins left="0.7" right="0.7" top="0.75" bottom="0.75" header="0.3" footer="0.3"/>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2" hidden="0" customWidth="1"/>
    <x:col min="2" max="2" width="112" hidden="0" customWidth="1"/>
    <x:col min="3" max="3" width="83" hidden="0" customWidth="1"/>
    <x:col min="4" max="4" width="75" hidden="0" customWidth="1"/>
  </x:cols>
  <x:sheetData>
    <x:row r="1" ht="24" customHeight="1">
      <x:c r="A1" s="4" t="str">
        <x:v>PROVENANCE | LIMITATIONS</x:v>
      </x:c>
      <x:c r="B1" s="4"/>
      <x:c r="C1" s="4"/>
      <x:c r="D1" s="4"/>
    </x:row>
    <x:row r="2" ht="24" customHeight="1">
      <x:c r="A2" s="4"/>
      <x:c r="B2" s="4"/>
      <x:c r="C2" s="4"/>
      <x:c r="D2" s="4"/>
    </x:row>
    <x:row r="3" ht="30" customHeight="1">
      <x:c r="A3" s="10" t="str">
        <x:v>原始代码/ESI环境/模型实验来源必须分开；本轮无原生仿真、无真实抓取/重训练。</x:v>
      </x:c>
      <x:c r="B3" s="10"/>
      <x:c r="C3" s="10"/>
      <x:c r="D3" s="10"/>
    </x:row>
    <x:row r="5" ht="32" customHeight="1">
      <x:c r="A5" s="17" t="str">
        <x:v>Source</x:v>
      </x:c>
      <x:c r="B5" s="17" t="str">
        <x:v>URI or local document</x:v>
      </x:c>
      <x:c r="C5" s="17" t="str">
        <x:v>What it supports</x:v>
      </x:c>
      <x:c r="D5" s="17" t="str">
        <x:v>What it cannot prove</x:v>
      </x:c>
    </x:row>
    <x:row r="6" ht="62" customHeight="1">
      <x:c r="A6" s="24" t="str">
        <x:v>Pinned CoreV2</x:v>
      </x:c>
      <x:c r="B6" s="24" t="str">
        <x:v>https://github.com/XuanCheg/Show-Harness-Explore/tree/33bada4bb278471b7a925cd8ddfa3d46a19f52fb/explore_to_achieve/tasks</x:v>
      </x:c>
      <x:c r="C6" s="24" t="str">
        <x:v>Task contracts/Converter/source identity</x:v>
      </x:c>
      <x:c r="D6" s="24" t="str">
        <x:v>All 48 native-valid or completed</x:v>
      </x:c>
    </x:row>
    <x:row r="7" ht="62" customHeight="1">
      <x:c r="A7" s="24" t="str">
        <x:v>Repo converter</x:v>
      </x:c>
      <x:c r="B7" s="24" t="str">
        <x:v>https://github.com/XuanCheg/Show-Harness-Explore/tree/33bada4bb278471b7a925cd8ddfa3d46a19f52fb/core/esi_converters</x:v>
      </x:c>
      <x:c r="C7" s="24" t="str">
        <x:v>Optics/ramp/temporal modules available</x:v>
      </x:c>
      <x:c r="D7" s="24" t="str">
        <x:v>New physical scenarios already constructed</x:v>
      </x:c>
    </x:row>
    <x:row r="8" ht="62" customHeight="1">
      <x:c r="A8" s="24" t="str">
        <x:v>Prior audit</x:v>
      </x:c>
      <x:c r="B8" s="24" t="str">
        <x:v>Library: Explore_to_Achieve_Audit.xlsx</x:v>
      </x:c>
      <x:c r="C8" s="24" t="str">
        <x:v>51−3+13 task inventory and partial scene geometry</x:v>
      </x:c>
      <x:c r="D8" s="24" t="str">
        <x:v>navigable area/background count/end-to-end success</x:v>
      </x:c>
    </x:row>
    <x:row r="9" ht="62" customHeight="1">
      <x:c r="A9" s="24" t="str">
        <x:v>Audit extension</x:v>
      </x:c>
      <x:c r="B9" s="24" t="str">
        <x:v>/mnt/data/World_Interactive_Agency_V1_Scene_Audit.xlsx</x:v>
      </x:c>
      <x:c r="C9" s="24" t="str">
        <x:v>61 row risk and prior V1 suitability classification</x:v>
      </x:c>
      <x:c r="D9" s="24" t="str">
        <x:v>native feasibility of unverified tasks</x:v>
      </x:c>
    </x:row>
    <x:row r="10" ht="62" customHeight="1">
      <x:c r="A10" s="24" t="str">
        <x:v>Earlier native audit</x:v>
      </x:c>
      <x:c r="B10" s="24" t="str">
        <x:v>Library: final_report.md</x:v>
      </x:c>
      <x:c r="C10" s="24" t="str">
        <x:v>Controller/simulator historical failures and task class distinctions</x:v>
      </x:c>
      <x:c r="D10" s="24" t="str">
        <x:v>new GPU experiment by this agent</x:v>
      </x:c>
    </x:row>
    <x:row r="11" ht="62" customHeight="1">
      <x:c r="A11" s="24" t="str">
        <x:v>Related paper</x:v>
      </x:c>
      <x:c r="B11" s="24" t="str">
        <x:v>https://arxiv.org/abs/2610.10388</x:v>
      </x:c>
      <x:c r="C11" s="24" t="str">
        <x:v>RoboQuest: goal-directed missing-information exploration</x:v>
      </x:c>
      <x:c r="D11" s="24" t="str">
        <x:v>exclusive ownership of memory and reasoning</x:v>
      </x:c>
    </x:row>
  </x:sheetData>
  <x:mergeCells>
    <x:mergeCell ref="A1:D2"/>
    <x:mergeCell ref="A3:D3"/>
  </x:mergeCells>
  <x:pageMargins left="0.7" right="0.7" top="0.75" bottom="0.75" header="0.3" footer="0.3"/>
</x:worksheet>
</file>