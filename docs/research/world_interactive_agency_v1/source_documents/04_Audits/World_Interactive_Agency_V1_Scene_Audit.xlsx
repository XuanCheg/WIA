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e1a0b52674d45c4" /></Relationships>
</file>

<file path=xl/workbook.xml><?xml version="1.0" encoding="utf-8"?>
<x:workbook xmlns:x="http://schemas.openxmlformats.org/spreadsheetml/2006/main">
  <x:sheets>
    <x:sheet xmlns:r="http://schemas.openxmlformats.org/officeDocument/2006/relationships" name="Executive" sheetId="1" r:id="R549f70f2c29b48d2"/>
    <x:sheet xmlns:r="http://schemas.openxmlformats.org/officeDocument/2006/relationships" name="Task_Audit_61" sheetId="2" r:id="R6c62dcca4c07486e"/>
    <x:sheet xmlns:r="http://schemas.openxmlformats.org/officeDocument/2006/relationships" name="Family_Stats" sheetId="3" r:id="R4cf19dc8725c43fe"/>
    <x:sheet xmlns:r="http://schemas.openxmlformats.org/officeDocument/2006/relationships" name="Scene_Families" sheetId="4" r:id="R63d96bbab152493f"/>
    <x:sheet xmlns:r="http://schemas.openxmlformats.org/officeDocument/2006/relationships" name="Metric_Rubric" sheetId="5" r:id="R0397c84be70b4eb1"/>
    <x:sheet xmlns:r="http://schemas.openxmlformats.org/officeDocument/2006/relationships" name="Scene_Changes" sheetId="6" r:id="R89d993274a3d4a4c"/>
    <x:sheet xmlns:r="http://schemas.openxmlformats.org/officeDocument/2006/relationships" name="Release_Gates" sheetId="7" r:id="Rb61225790e644d12"/>
    <x:sheet xmlns:r="http://schemas.openxmlformats.org/officeDocument/2006/relationships" name="Sources" sheetId="8" r:id="R0e0fb7ea79a84cb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8">
    <x:font>
      <x:sz val="11"/>
      <x:name val="Carlito"/>
    </x:font>
    <x:font>
      <x:b/>
      <x:sz val="17"/>
      <x:color rgb="FFFFFFFF"/>
      <x:name val="Carlito"/>
    </x:font>
    <x:font>
      <x:sz val="10"/>
      <x:color rgb="FF263645"/>
      <x:name val="Carlito"/>
    </x:font>
    <x:font>
      <x:b/>
      <x:sz val="11"/>
      <x:color rgb="FF17324D"/>
      <x:name val="Carlito"/>
    </x:font>
    <x:font>
      <x:b/>
      <x:sz val="14"/>
      <x:color rgb="FF17324D"/>
      <x:name val="Carlito"/>
    </x:font>
    <x:font>
      <x:b/>
      <x:sz val="10"/>
      <x:color rgb="FFFFFFFF"/>
      <x:name val="Carlito"/>
    </x:font>
    <x:font>
      <x:b/>
      <x:sz val="11"/>
      <x:color rgb="FFFFFFFF"/>
      <x:name val="Carlito"/>
    </x:font>
    <x:font>
      <x:b/>
      <x:sz val="11"/>
      <x:color rgb="FF8E2525"/>
      <x:name val="Carlito"/>
    </x:font>
  </x:fonts>
  <x:fills count="9">
    <x:fill>
      <x:patternFill patternType="none"/>
    </x:fill>
    <x:fill>
      <x:patternFill patternType="gray125"/>
    </x:fill>
    <x:fill>
      <x:patternFill patternType="solid">
        <x:fgColor rgb="FF17324D"/>
      </x:patternFill>
    </x:fill>
    <x:fill>
      <x:patternFill patternType="solid">
        <x:fgColor rgb="FFEAF2FA"/>
      </x:patternFill>
    </x:fill>
    <x:fill>
      <x:patternFill patternType="solid">
        <x:fgColor rgb="FFF3F6FA"/>
      </x:patternFill>
    </x:fill>
    <x:fill>
      <x:patternFill patternType="solid">
        <x:fgColor rgb="FF24588A"/>
      </x:patternFill>
    </x:fill>
    <x:fill>
      <x:patternFill patternType="solid">
        <x:fgColor rgb="FFFFF0CF"/>
      </x:patternFill>
    </x:fill>
    <x:fill>
      <x:patternFill patternType="solid">
        <x:fgColor rgb="FFFCE7E6"/>
      </x:patternFill>
    </x:fill>
    <x:fill>
      <x:patternFill patternType="solid">
        <x:fgColor rgb="FFD9EFE5"/>
      </x:patternFill>
    </x:fill>
  </x:fills>
  <x:borders count="2">
    <x:border/>
    <x:border/>
  </x:borders>
  <x:cellStyleXfs count="1">
    <x:xf numFmtId="0" fontId="0" fillId="0" borderId="0"/>
  </x:cellStyleXfs>
  <x:cellXfs count="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6" fillId="5" borderId="0" xfId="0" applyNumberFormat="1" applyFont="1" applyFill="1" applyBorder="1"/>
    <x:xf numFmtId="0" fontId="6" fillId="5"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1" xfId="0" applyNumberFormat="1" applyFont="1" applyFill="1" applyBorder="1"/>
    <x:xf numFmtId="0" fontId="3" fillId="3" borderId="1" xfId="0" applyNumberFormat="1" applyFont="1" applyFill="1" applyBorder="1" applyAlignment="1">
      <x:alignment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1" xfId="0" applyNumberFormat="1" applyFont="1" applyFill="1" applyBorder="1"/>
    <x:xf numFmtId="0" fontId="0" fillId="6"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8"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095b9c919d41e8" /><Relationship Type="http://schemas.openxmlformats.org/officeDocument/2006/relationships/theme" Target="/xl/theme/theme1.xml" Id="R55596340c8ea4f78" /><Relationship Type="http://schemas.openxmlformats.org/officeDocument/2006/relationships/sharedStrings" Target="/xl/sharedStrings.xml" Id="R7bfa3fb1779045a1" /><Relationship Type="http://schemas.openxmlformats.org/officeDocument/2006/relationships/worksheet" Target="/xl/worksheets/sheet1.xml" Id="R549f70f2c29b48d2" /><Relationship Type="http://schemas.openxmlformats.org/officeDocument/2006/relationships/worksheet" Target="/xl/worksheets/sheet2.xml" Id="R6c62dcca4c07486e" /><Relationship Type="http://schemas.openxmlformats.org/officeDocument/2006/relationships/worksheet" Target="/xl/worksheets/sheet3.xml" Id="R4cf19dc8725c43fe" /><Relationship Type="http://schemas.openxmlformats.org/officeDocument/2006/relationships/worksheet" Target="/xl/worksheets/sheet4.xml" Id="R63d96bbab152493f" /><Relationship Type="http://schemas.openxmlformats.org/officeDocument/2006/relationships/worksheet" Target="/xl/worksheets/sheet5.xml" Id="R0397c84be70b4eb1" /><Relationship Type="http://schemas.openxmlformats.org/officeDocument/2006/relationships/worksheet" Target="/xl/worksheets/sheet6.xml" Id="R89d993274a3d4a4c" /><Relationship Type="http://schemas.openxmlformats.org/officeDocument/2006/relationships/worksheet" Target="/xl/worksheets/sheet7.xml" Id="Rb61225790e644d12" /><Relationship Type="http://schemas.openxmlformats.org/officeDocument/2006/relationships/worksheet" Target="/xl/worksheets/sheet8.xml" Id="R0e0fb7ea79a84cbc" /></Relationships>
</file>

<file path=xl/drawings/_rels/drawing1.xml.rels>&#65279;<?xml version="1.0" encoding="utf-8"?><Relationships xmlns="http://schemas.openxmlformats.org/package/2006/relationships"><Relationship Type="http://schemas.openxmlformats.org/officeDocument/2006/relationships/chart" Target="/xl/drawings/charts/chart1.xml" Id="R2d7e32f2cc2846c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候选任务在6大研究家族的分布</a:t>
            </a:r>
          </a:p>
        </c:rich>
      </c:tx>
      <c:overlay val="0"/>
    </c:title>
    <c:plotArea>
      <c:barChart>
        <c:barDir val="col"/>
        <c:varyColors val="0"/>
        <c:ser>
          <c:idx val="0"/>
          <c:order val="0"/>
          <c:tx>
            <c:v>总候选</c:v>
          </c:tx>
          <c:cat>
            <c:strRef>
              <c:f>'Family_Stats'!$A$6:$A$11</c:f>
              <c:strCache>
                <c:ptCount val="0"/>
              </c:strCache>
            </c:strRef>
          </c:cat>
          <c:val>
            <c:numRef>
              <c:f>'Family_Stats'!$B$6:$B$11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4</xdr:row>
      <xdr:rowOff>0</xdr:rowOff>
    </xdr:from>
    <xdr:to>
      <xdr:col>17</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7e32f2cc2846c8"/>
        </a:graphicData>
      </a:graphic>
    </xdr:graphicFrame>
    <xdr:clientData/>
  </xdr:twoCellAnchor>
</xdr:wsDr>
</file>

<file path=xl/tables/table1.xml><?xml version="1.0" encoding="utf-8"?>
<x:table xmlns:x="http://schemas.openxmlformats.org/spreadsheetml/2006/main" id="1" name="WiaTaskAudit" displayName="WiaTaskAudit" ref="A5:U66" headerRowCount="1" totalsRowCount="0" totalsRowShown="0">
  <x:tableColumns count="21">
    <x:tableColumn id="1" name="短ID"/>
    <x:tableColumn id="2" name="处理建议"/>
    <x:tableColumn id="3" name="优先级"/>
    <x:tableColumn id="4" name="新任务家族"/>
    <x:tableColumn id="5" name="机制/子类"/>
    <x:tableColumn id="6" name="原始ESI大类"/>
    <x:tableColumn id="7" name="原始子类"/>
    <x:tableColumn id="8" name="场景ID"/>
    <x:tableColumn id="9" name="房间"/>
    <x:tableColumn id="10" name="范围分类"/>
    <x:tableColumn id="11" name="已知标签面积m²"/>
    <x:tableColumn id="12" name="源参考路线m"/>
    <x:tableColumn id="13" name="目标数量"/>
    <x:tableColumn id="14" name="任务相关物体/装置"/>
    <x:tableColumn id="15" name="原始审查风险"/>
    <x:tableColumn id="16" name="本轮建议修订"/>
    <x:tableColumn id="17" name="研究问题/主张"/>
    <x:tableColumn id="18" name="机制标签"/>
    <x:tableColumn id="19" name="现有证据状态"/>
    <x:tableColumn id="20" name="Scene确认状态"/>
    <x:tableColumn id="21" name="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70aa511fb44ce5" /></Relationships>
</file>

<file path=xl/worksheets/_rels/sheet3.xml.rels>&#65279;<?xml version="1.0" encoding="utf-8"?><Relationships xmlns="http://schemas.openxmlformats.org/package/2006/relationships"><Relationship Type="http://schemas.openxmlformats.org/officeDocument/2006/relationships/drawing" Target="/xl/drawings/drawing1.xml" Id="R1b847b326bce4751" /></Relationships>
</file>

<file path=xl/worksheets/sheet1.xml><?xml version="1.0" encoding="utf-8"?>
<x:worksheet xmlns:x="http://schemas.openxmlformats.org/spreadsheetml/2006/main">
  <x:sheetFormatPr defaultRowHeight="15"/>
  <x:cols>
    <x:col min="1" max="1" width="20" hidden="0" customWidth="1"/>
    <x:col min="2" max="2" width="12" hidden="0" customWidth="1"/>
    <x:col min="3" max="3" width="17" hidden="0" customWidth="1"/>
    <x:col min="4" max="4" width="19" hidden="0" customWidth="1"/>
    <x:col min="5" max="5" width="25" hidden="0" customWidth="1"/>
    <x:col min="6" max="6" width="31" hidden="0" customWidth="1"/>
    <x:col min="7" max="7" width="24" hidden="0" customWidth="1"/>
    <x:col min="8" max="8" width="31" hidden="0" customWidth="1"/>
  </x:cols>
  <x:sheetData>
    <x:row r="1" ht="24" customHeight="1">
      <x:c r="A1" s="4" t="str">
        <x:v>WORLD-INTERACTIVE AGENCY  |  V1 SCENE AUDIT</x:v>
      </x:c>
      <x:c r="B1" s="4"/>
      <x:c r="C1" s="4"/>
      <x:c r="D1" s="4"/>
      <x:c r="E1" s="4"/>
      <x:c r="F1" s="4"/>
      <x:c r="G1" s="4"/>
      <x:c r="H1" s="4"/>
      <x:c r="I1" s="4"/>
      <x:c r="J1" s="4"/>
      <x:c r="K1" s="4"/>
      <x:c r="L1" s="4"/>
      <x:c r="M1" s="4"/>
      <x:c r="N1" s="4"/>
    </x:row>
    <x:row r="2" ht="24" customHeight="1">
      <x:c r="A2" s="4"/>
      <x:c r="B2" s="4"/>
      <x:c r="C2" s="4"/>
      <x:c r="D2" s="4"/>
      <x:c r="E2" s="4"/>
      <x:c r="F2" s="4"/>
      <x:c r="G2" s="4"/>
      <x:c r="H2" s="4"/>
      <x:c r="I2" s="4"/>
      <x:c r="J2" s="4"/>
      <x:c r="K2" s="4"/>
      <x:c r="L2" s="4"/>
      <x:c r="M2" s="4"/>
      <x:c r="N2" s="4"/>
    </x:row>
    <x:row r="3" ht="28" customHeight="1">
      <x:c r="A3" s="11" t="str">
        <x:v>Research planning snapshot • 2026-10-22 • 61 candidate tasks, not 61 qualified episodes</x:v>
      </x:c>
      <x:c r="B3" s="11"/>
      <x:c r="C3" s="11"/>
      <x:c r="D3" s="11"/>
      <x:c r="E3" s="11"/>
      <x:c r="F3" s="11"/>
      <x:c r="G3" s="11"/>
      <x:c r="H3" s="11"/>
      <x:c r="I3" s="11"/>
      <x:c r="J3" s="11"/>
      <x:c r="K3" s="11"/>
      <x:c r="L3" s="11"/>
      <x:c r="M3" s="11"/>
      <x:c r="N3" s="11"/>
    </x:row>
    <x:row r="5" ht="32" customHeight="1">
      <x:c r="A5" s="18" t="str">
        <x:v>候选任务</x:v>
      </x:c>
      <x:c r="B5" s="18" t="str">
        <x:v>V1拟保留</x:v>
      </x:c>
      <x:c r="C5" s="18" t="str">
        <x:v>暂缓/替换</x:v>
      </x:c>
      <x:c r="D5" s="18" t="str">
        <x:v>科学任务家族</x:v>
      </x:c>
      <x:c r="E5" s="18" t="str">
        <x:v>已知原生scene ID</x:v>
      </x:c>
      <x:c r="F5" s="18" t="str">
        <x:v>原有房间标签面积已知</x:v>
      </x:c>
      <x:c r="G5" s="18" t="str">
        <x:v>历史替换项</x:v>
      </x:c>
      <x:c r="H5" s="18" t="str">
        <x:v>GPU实验</x:v>
      </x:c>
    </x:row>
    <x:row r="6" ht="40" customHeight="1">
      <x:c r="A6" s="22" t="n">
        <x:v>61</x:v>
      </x:c>
      <x:c r="B6" s="22" t="n">
        <x:v>41</x:v>
      </x:c>
      <x:c r="C6" s="22" t="n">
        <x:v>20</x:v>
      </x:c>
      <x:c r="D6" s="22" t="n">
        <x:v>6</x:v>
      </x:c>
      <x:c r="E6" s="22" t="n">
        <x:v>20</x:v>
      </x:c>
      <x:c r="F6" s="22" t="n">
        <x:v>4</x:v>
      </x:c>
      <x:c r="G6" s="22" t="n">
        <x:v>3</x:v>
      </x:c>
      <x:c r="H6" s="22" t="str">
        <x:v>本轮未运行</x:v>
      </x:c>
    </x:row>
    <x:row r="9" ht="30" customHeight="1">
      <x:c r="A9" s="27" t="str">
        <x:v>候选处理层</x:v>
      </x:c>
      <x:c r="B9" s="27" t="str">
        <x:v>数量</x:v>
      </x:c>
      <x:c r="D9" s="32" t="str">
        <x:v>研究策略</x:v>
      </x:c>
      <x:c r="E9" s="32" t="str">
        <x:v>研究动作</x:v>
      </x:c>
      <x:c r="F9" s="32" t="str">
        <x:v>最小证据门槛</x:v>
      </x:c>
      <x:c r="G9" s="32" t="str">
        <x:v>评测组织</x:v>
      </x:c>
      <x:c r="H9" s="32" t="str">
        <x:v>注意事项</x:v>
      </x:c>
    </x:row>
    <x:row r="10" ht="48" customHeight="1">
      <x:c r="A10" t="str">
        <x:v>V1-核心候选</x:v>
      </x:c>
      <x:c r="B10" t="n">
        <x:v>14</x:v>
      </x:c>
      <x:c r="D10" s="34" t="str">
        <x:v>科学目标</x:v>
      </x:c>
      <x:c r="E10" s="34" t="str">
        <x:v>检验认知→行动鸿沟</x:v>
      </x:c>
      <x:c r="F10" s="34" t="str">
        <x:v>任务目标/正确策略真实区分</x:v>
      </x:c>
      <x:c r="G10" s="34" t="str">
        <x:v>6家族+机制标签</x:v>
      </x:c>
      <x:c r="H10" s="34" t="str">
        <x:v>不宣称完整覆盖Embodied AI</x:v>
      </x:c>
    </x:row>
    <x:row r="11" ht="48" customHeight="1">
      <x:c r="A11" t="str">
        <x:v>V1-修复后</x:v>
      </x:c>
      <x:c r="B11" t="n">
        <x:v>20</x:v>
      </x:c>
      <x:c r="D11" s="34" t="str">
        <x:v>场景有效性</x:v>
      </x:c>
      <x:c r="E11" s="34" t="str">
        <x:v>先修高价值局部任务</x:v>
      </x:c>
      <x:c r="F11" s="34" t="str">
        <x:v>原生可达+抓取+合法成功路径</x:v>
      </x:c>
      <x:c r="G11" s="34" t="str">
        <x:v>按scene family汇总</x:v>
      </x:c>
      <x:c r="H11" s="34" t="str">
        <x:v>Scene ≠ task ≠ episode</x:v>
      </x:c>
    </x:row>
    <x:row r="12" ht="48" customHeight="1">
      <x:c r="A12" t="str">
        <x:v>V1-对照</x:v>
      </x:c>
      <x:c r="B12" t="n">
        <x:v>7</x:v>
      </x:c>
      <x:c r="D12" s="34" t="str">
        <x:v>V1发布</x:v>
      </x:c>
      <x:c r="E12" s="34" t="str">
        <x:v>只发布通过门槛的任务</x:v>
      </x:c>
      <x:c r="F12" s="34" t="str">
        <x:v>每任务至少一次真实合法终态</x:v>
      </x:c>
      <x:c r="G12" s="34" t="str">
        <x:v>Core/Control/Stress分别报告</x:v>
      </x:c>
      <x:c r="H12" s="34" t="str">
        <x:v>现有61均不能算已认证</x:v>
      </x:c>
    </x:row>
    <x:row r="13" ht="48" customHeight="1">
      <x:c r="A13" t="str">
        <x:v>V2-储备</x:v>
      </x:c>
      <x:c r="B13" t="n">
        <x:v>16</x:v>
      </x:c>
      <x:c r="D13" s="34" t="str">
        <x:v>快速复用</x:v>
      </x:c>
      <x:c r="E13" s="34" t="str">
        <x:v>支持按机制单独运行</x:v>
      </x:c>
      <x:c r="F13" s="34" t="str">
        <x:v>一键加载/有限决策预算</x:v>
      </x:c>
      <x:c r="G13" s="34" t="str">
        <x:v>Quick/Domain/Full</x:v>
      </x:c>
      <x:c r="H13" s="34" t="str">
        <x:v>预算按局部/跨房/大空间分层</x:v>
      </x:c>
    </x:row>
    <x:row r="14" ht="48" customHeight="1">
      <x:c r="A14" t="str">
        <x:v>合并/替换</x:v>
      </x:c>
      <x:c r="B14" t="n">
        <x:v>4</x:v>
      </x:c>
      <x:c r="D14" s="34" t="str">
        <x:v>V2扩展</x:v>
      </x:c>
      <x:c r="E14" s="34" t="str">
        <x:v>新增场景和更难的物理能力</x:v>
      </x:c>
      <x:c r="F14" s="34" t="str">
        <x:v>冻结V1任务ID、判分版本</x:v>
      </x:c>
      <x:c r="G14" s="34" t="str">
        <x:v>后续追加，不悄然改旧榜</x:v>
      </x:c>
      <x:c r="H14" s="34" t="str">
        <x:v>优先扩模型架构及泛化</x:v>
      </x:c>
    </x:row>
    <x:row r="17" ht="39" customHeight="1">
      <x:c r="A17" s="37" t="str">
        <x:v>核心论证：RoboQuest 强调行动获取缺失证据；我们的V1强调在任务相关信息已知或已获取时，空间/物理推理与记忆如何转化为正确的物理行动。</x:v>
      </x:c>
      <x:c r="B17" s="37"/>
      <x:c r="C17" s="37"/>
      <x:c r="D17" s="37"/>
      <x:c r="E17" s="37"/>
      <x:c r="F17" s="37"/>
      <x:c r="G17" s="37"/>
      <x:c r="H17" s="37"/>
      <x:c r="I17" s="37"/>
      <x:c r="J17" s="37"/>
      <x:c r="K17" s="37"/>
      <x:c r="L17" s="37"/>
      <x:c r="M17" s="37"/>
      <x:c r="N17" s="37"/>
    </x:row>
    <x:row r="19" ht="32" customHeight="1">
      <x:c r="A19" s="41" t="str">
        <x:v>限制：无本轮新 OmniGibson/GPU 运行；背景资产总量、任务可通行面积、门/手部净空、真实抓取成功率均不可从 YAML 可靠推断。</x:v>
      </x:c>
      <x:c r="B19" s="41"/>
      <x:c r="C19" s="41"/>
      <x:c r="D19" s="41"/>
      <x:c r="E19" s="41"/>
      <x:c r="F19" s="41"/>
      <x:c r="G19" s="41"/>
      <x:c r="H19" s="41"/>
      <x:c r="I19" s="41"/>
      <x:c r="J19" s="41"/>
      <x:c r="K19" s="41"/>
      <x:c r="L19" s="41"/>
      <x:c r="M19" s="41"/>
      <x:c r="N19" s="41"/>
    </x:row>
  </x:sheetData>
  <x:mergeCells>
    <x:mergeCell ref="A1:N2"/>
    <x:mergeCell ref="A3:N3"/>
    <x:mergeCell ref="A17:N17"/>
    <x:mergeCell ref="A19:N19"/>
  </x:mergeCells>
  <x:pageMargins left="0.7" right="0.7" top="0.75" bottom="0.75" header="0.3" footer="0.3"/>
</x:worksheet>
</file>

<file path=xl/worksheets/sheet2.xml><?xml version="1.0" encoding="utf-8"?>
<x:worksheet xmlns:x="http://schemas.openxmlformats.org/spreadsheetml/2006/main">
  <x:sheetViews>
    <x:sheetView workbookViewId="0">
      <x:pane xSplit="3" ySplit="5" topLeftCell="D6" activePane="bottomRight" state="frozen"/>
    </x:sheetView>
  </x:sheetViews>
  <x:sheetFormatPr defaultRowHeight="15"/>
  <x:cols>
    <x:col min="1" max="1" width="9" hidden="0" customWidth="1"/>
    <x:col min="2" max="2" width="18" hidden="0" customWidth="1"/>
    <x:col min="3" max="3" width="10" hidden="0" customWidth="1"/>
    <x:col min="4" max="4" width="33" hidden="0" customWidth="1"/>
    <x:col min="5" max="5" width="34" hidden="0" customWidth="1"/>
    <x:col min="6" max="6" width="24" hidden="0" customWidth="1"/>
    <x:col min="7" max="7" width="27" hidden="0" customWidth="1"/>
    <x:col min="8" max="8" width="28" hidden="0" customWidth="1"/>
    <x:col min="9" max="9" width="30" hidden="0" customWidth="1"/>
    <x:col min="10" max="10" width="18" hidden="0" customWidth="1"/>
    <x:col min="11" max="11" width="15" hidden="0" customWidth="1"/>
    <x:col min="12" max="12" width="16" hidden="0" customWidth="1"/>
    <x:col min="13" max="13" width="13" hidden="0" customWidth="1"/>
    <x:col min="14" max="14" width="54" hidden="0" customWidth="1"/>
    <x:col min="15" max="15" width="70" hidden="0" customWidth="1"/>
    <x:col min="16" max="16" width="72" hidden="0" customWidth="1"/>
    <x:col min="17" max="17" width="34" hidden="0" customWidth="1"/>
    <x:col min="18" max="18" width="51" hidden="0" customWidth="1"/>
    <x:col min="19" max="19" width="33" hidden="0" customWidth="1"/>
    <x:col min="20" max="20" width="30" hidden="0" customWidth="1"/>
    <x:col min="21" max="21" width="60" hidden="0" customWidth="1"/>
  </x:cols>
  <x:sheetData>
    <x:row r="1" ht="24" customHeight="1">
      <x:c r="A1" s="4" t="str">
        <x:v>61 CANDIDATE TASKS  |  DECISION MATRIX</x:v>
      </x:c>
      <x:c r="B1" s="4"/>
      <x:c r="C1" s="4"/>
      <x:c r="D1" s="4"/>
      <x:c r="E1" s="4"/>
      <x:c r="F1" s="4"/>
      <x:c r="G1" s="4"/>
      <x:c r="H1" s="4"/>
      <x:c r="I1" s="4"/>
      <x:c r="J1" s="4"/>
      <x:c r="K1" s="4"/>
      <x:c r="L1" s="4"/>
      <x:c r="M1" s="4"/>
      <x:c r="N1" s="4"/>
      <x:c r="O1" s="4"/>
      <x:c r="P1" s="4"/>
      <x:c r="Q1" s="4"/>
      <x:c r="R1" s="4"/>
      <x:c r="S1" s="4"/>
      <x:c r="T1" s="4"/>
      <x:c r="U1" s="4"/>
    </x:row>
    <x:row r="2" ht="24" customHeight="1">
      <x:c r="A2" s="4"/>
      <x:c r="B2" s="4"/>
      <x:c r="C2" s="4"/>
      <x:c r="D2" s="4"/>
      <x:c r="E2" s="4"/>
      <x:c r="F2" s="4"/>
      <x:c r="G2" s="4"/>
      <x:c r="H2" s="4"/>
      <x:c r="I2" s="4"/>
      <x:c r="J2" s="4"/>
      <x:c r="K2" s="4"/>
      <x:c r="L2" s="4"/>
      <x:c r="M2" s="4"/>
      <x:c r="N2" s="4"/>
      <x:c r="O2" s="4"/>
      <x:c r="P2" s="4"/>
      <x:c r="Q2" s="4"/>
      <x:c r="R2" s="4"/>
      <x:c r="S2" s="4"/>
      <x:c r="T2" s="4"/>
      <x:c r="U2" s="4"/>
    </x:row>
    <x:row r="3" ht="28" customHeight="1">
      <x:c r="A3" s="11" t="str">
        <x:v>每行是一项任务设计，不等于独立场景；所有 V1 标签均以执行认证为前提。空白物理面积表示待测，不代表0。</x:v>
      </x:c>
      <x:c r="B3" s="11"/>
      <x:c r="C3" s="11"/>
      <x:c r="D3" s="11"/>
      <x:c r="E3" s="11"/>
      <x:c r="F3" s="11"/>
      <x:c r="G3" s="11"/>
      <x:c r="H3" s="11"/>
      <x:c r="I3" s="11"/>
      <x:c r="J3" s="11"/>
      <x:c r="K3" s="11"/>
      <x:c r="L3" s="11"/>
      <x:c r="M3" s="11"/>
      <x:c r="N3" s="11"/>
      <x:c r="O3" s="11"/>
      <x:c r="P3" s="11"/>
      <x:c r="Q3" s="11"/>
      <x:c r="R3" s="11"/>
      <x:c r="S3" s="11"/>
      <x:c r="T3" s="11"/>
      <x:c r="U3" s="11"/>
    </x:row>
    <x:row r="5" ht="32" customHeight="1">
      <x:c r="A5" s="27" t="str">
        <x:v>短ID</x:v>
      </x:c>
      <x:c r="B5" s="27" t="str">
        <x:v>处理建议</x:v>
      </x:c>
      <x:c r="C5" s="27" t="str">
        <x:v>优先级</x:v>
      </x:c>
      <x:c r="D5" s="27" t="str">
        <x:v>新任务家族</x:v>
      </x:c>
      <x:c r="E5" s="27" t="str">
        <x:v>机制/子类</x:v>
      </x:c>
      <x:c r="F5" s="27" t="str">
        <x:v>原始ESI大类</x:v>
      </x:c>
      <x:c r="G5" s="27" t="str">
        <x:v>原始子类</x:v>
      </x:c>
      <x:c r="H5" s="27" t="str">
        <x:v>场景ID</x:v>
      </x:c>
      <x:c r="I5" s="27" t="str">
        <x:v>房间</x:v>
      </x:c>
      <x:c r="J5" s="27" t="str">
        <x:v>范围分类</x:v>
      </x:c>
      <x:c r="K5" s="27" t="str">
        <x:v>已知标签面积m²</x:v>
      </x:c>
      <x:c r="L5" s="27" t="str">
        <x:v>源参考路线m</x:v>
      </x:c>
      <x:c r="M5" s="27" t="str">
        <x:v>目标数量</x:v>
      </x:c>
      <x:c r="N5" s="27" t="str">
        <x:v>任务相关物体/装置</x:v>
      </x:c>
      <x:c r="O5" s="27" t="str">
        <x:v>原始审查风险</x:v>
      </x:c>
      <x:c r="P5" s="27" t="str">
        <x:v>本轮建议修订</x:v>
      </x:c>
      <x:c r="Q5" s="27" t="str">
        <x:v>研究问题/主张</x:v>
      </x:c>
      <x:c r="R5" s="27" t="str">
        <x:v>机制标签</x:v>
      </x:c>
      <x:c r="S5" s="27" t="str">
        <x:v>现有证据状态</x:v>
      </x:c>
      <x:c r="T5" s="27" t="str">
        <x:v>Scene确认状态</x:v>
      </x:c>
      <x:c r="U5" s="27" t="str">
        <x:v>来源</x:v>
      </x:c>
    </x:row>
    <x:row r="6" ht="50" customHeight="1">
      <x:c r="A6" s="44" t="str">
        <x:v>T01</x:v>
      </x:c>
      <x:c r="B6" s="50" t="str">
        <x:v>V1-对照</x:v>
      </x:c>
      <x:c r="C6" s="44" t="str">
        <x:v>P1</x:v>
      </x:c>
      <x:c r="D6" s="44" t="str">
        <x:v>Physical Planning &amp; Experimentation</x:v>
      </x:c>
      <x:c r="E6" s="44" t="str">
        <x:v>Prescribed-order construction</x:v>
      </x:c>
      <x:c r="F6" s="44" t="str">
        <x:v>Action Sequencing</x:v>
      </x:c>
      <x:c r="G6" s="44" t="str">
        <x:v>Action Order Inference</x:v>
      </x:c>
      <x:c r="H6" s="44" t="str">
        <x:v>Merom_0_garden</x:v>
      </x:c>
      <x:c r="I6" s="44" t="str">
        <x:v>utility_room_0</x:v>
      </x:c>
      <x:c r="J6" s="44" t="str">
        <x:v>局部工作区／尺寸待测</x:v>
      </x:c>
      <x:c r="K6" s="46"/>
      <x:c r="L6" s="46"/>
      <x:c r="M6" s="48" t="n">
        <x:v>3</x:v>
      </x:c>
      <x:c r="N6" s="44" t="str">
        <x:v>5 个去重相关物体：wicker_basket、pizza_box、pizza_box、lemon、lemon；中间物1+底层候选2+顶层候选2，终态3物体</x:v>
      </x:c>
      <x:c r="O6" s="44" t="str">
        <x:v>两只 pizza_box、wicker_basket、两只 lemon 共 5 个候选，不是 3 个。篮子开口和柠檬滚动会把“稳定在上面”与“掉进篮子”混在一起；目标已给定操作次序，不能计为推断顺序。</x:v>
      </x:c>
      <x:c r="P6" s="44" t="str">
        <x:v>保留给定次序执行对照；篮内落入与顶部承托的成功关系必须明确，证明稳定退手。</x:v>
      </x:c>
      <x:c r="Q6" s="44" t="str">
        <x:v>拓扑认知／给定计划→机器人行动</x:v>
      </x:c>
      <x:c r="R6" s="44" t="str">
        <x:v>Prescribed sequence;Physical construction;Stability</x:v>
      </x:c>
      <x:c r="S6" s="44" t="str">
        <x:v>已有候选YAML；完整物理执行未认证</x:v>
      </x:c>
      <x:c r="T6" s="44" t="str">
        <x:v>源scene ID已知；Robot适配另行认证</x:v>
      </x:c>
      <x:c r="U6" s="44" t="str">
        <x:v>https://github.com/XuanCheg/Show-Harness-Explore/blob/33bada4bb278471b7a925cd8ddfa3d46a19f52fb/explore_to_achieve/tasks/Action%20Sequencing/Action%20Order%20Inference/Merom_0_garden/utility_room_0/corev2__category_17d798839775b73b4f9f8d26.yaml</x:v>
      </x:c>
    </x:row>
    <x:row r="7" ht="50" customHeight="1">
      <x:c r="A7" s="44" t="str">
        <x:v>T02</x:v>
      </x:c>
      <x:c r="B7" s="52" t="str">
        <x:v>V2-储备</x:v>
      </x:c>
      <x:c r="C7" s="44" t="str">
        <x:v>P2</x:v>
      </x:c>
      <x:c r="D7" s="44" t="str">
        <x:v>Physical Planning &amp; Experimentation</x:v>
      </x:c>
      <x:c r="E7" s="44" t="str">
        <x:v>Prescribed-order construction</x:v>
      </x:c>
      <x:c r="F7" s="44" t="str">
        <x:v>Action Sequencing</x:v>
      </x:c>
      <x:c r="G7" s="44" t="str">
        <x:v>Action Order Inference</x:v>
      </x:c>
      <x:c r="H7" s="44" t="str">
        <x:v>house_single_floor</x:v>
      </x:c>
      <x:c r="I7" s="44" t="str">
        <x:v>dining_room_0</x:v>
      </x:c>
      <x:c r="J7" s="44" t="str">
        <x:v>局部工作区／尺寸待测</x:v>
      </x:c>
      <x:c r="K7" s="46"/>
      <x:c r="L7" s="46"/>
      <x:c r="M7" s="48" t="n">
        <x:v>3</x:v>
      </x:c>
      <x:c r="N7" s="44" t="str">
        <x:v>5 个去重相关物体：gift_box、cutting_board、cutting_board、softball、softball；中间物1+底层候选2+顶层候选2，终态3物体</x:v>
      </x:c>
      <x:c r="O7" s="44" t="str">
        <x:v>gift_box 上放 softball 容易滚动；两块 cutting_board 和两只 softball 的候选选择与塔稳定性叠加，初始布局分散会额外考查移动。仅 0.5 秒稳定窗口可能接受短暂平衡，需用回放检查。</x:v>
      </x:c>
      <x:c r="P7" s="44" t="str">
        <x:v>软球滚动+五候选分散使物理失稳主导；先完成参照合法堆叠轨迹。</x:v>
      </x:c>
      <x:c r="Q7" s="44" t="str">
        <x:v>拓扑认知／给定计划→机器人行动</x:v>
      </x:c>
      <x:c r="R7" s="44" t="str">
        <x:v>Prescribed sequence;Physical construction;Stability</x:v>
      </x:c>
      <x:c r="S7" s="44" t="str">
        <x:v>已有候选YAML；完整物理执行未认证</x:v>
      </x:c>
      <x:c r="T7" s="44" t="str">
        <x:v>源scene ID已知；Robot适配另行认证</x:v>
      </x:c>
      <x:c r="U7" s="44" t="str">
        <x:v>https://github.com/XuanCheg/Show-Harness-Explore/blob/33bada4bb278471b7a925cd8ddfa3d46a19f52fb/explore_to_achieve/tasks/Action%20Sequencing/Action%20Order%20Inference/house_single_floor/dining_room_0/corev2__category_11e210b18d60f8824aa6f88e.yaml</x:v>
      </x:c>
    </x:row>
    <x:row r="8" ht="50" customHeight="1">
      <x:c r="A8" s="44" t="str">
        <x:v>T03</x:v>
      </x:c>
      <x:c r="B8" s="52" t="str">
        <x:v>V2-储备</x:v>
      </x:c>
      <x:c r="C8" s="44" t="str">
        <x:v>P2</x:v>
      </x:c>
      <x:c r="D8" s="44" t="str">
        <x:v>Physical Planning &amp; Experimentation</x:v>
      </x:c>
      <x:c r="E8" s="44" t="str">
        <x:v>Prescribed-order construction</x:v>
      </x:c>
      <x:c r="F8" s="44" t="str">
        <x:v>Action Sequencing</x:v>
      </x:c>
      <x:c r="G8" s="44" t="str">
        <x:v>Action Order Inference</x:v>
      </x:c>
      <x:c r="H8" s="44" t="str">
        <x:v>office_cubicles_left</x:v>
      </x:c>
      <x:c r="I8" s="44" t="str">
        <x:v>lobby_0</x:v>
      </x:c>
      <x:c r="J8" s="44" t="str">
        <x:v>局部工作区／尺寸待测</x:v>
      </x:c>
      <x:c r="K8" s="46"/>
      <x:c r="L8" s="46"/>
      <x:c r="M8" s="48" t="n">
        <x:v>3</x:v>
      </x:c>
      <x:c r="N8" s="44" t="str">
        <x:v>5 个去重相关物体：casserole、pizza_box、pizza_box、pear、pear；中间物1+底层候选2+顶层候选2，终态3物体</x:v>
      </x:c>
      <x:c r="O8" s="44" t="str">
        <x:v>casserole 有凹腔和手柄，pear 可能落入容器而不是形成预期塔；pizza_box 两候选的承载面几何与 pear 稳定性决定可行性，房间大不能替代接触验证。</x:v>
      </x:c>
      <x:c r="P8" s="44" t="str">
        <x:v>梨落入 casserole 腔体与合法支撑链语义冲突，先重写支持关系。</x:v>
      </x:c>
      <x:c r="Q8" s="44" t="str">
        <x:v>拓扑认知／给定计划→机器人行动</x:v>
      </x:c>
      <x:c r="R8" s="44" t="str">
        <x:v>Prescribed sequence;Physical construction;Stability</x:v>
      </x:c>
      <x:c r="S8" s="44" t="str">
        <x:v>已有候选YAML；完整物理执行未认证</x:v>
      </x:c>
      <x:c r="T8" s="44" t="str">
        <x:v>源scene ID已知；Robot适配另行认证</x:v>
      </x:c>
      <x:c r="U8" s="44" t="str">
        <x:v>https://github.com/XuanCheg/Show-Harness-Explore/blob/33bada4bb278471b7a925cd8ddfa3d46a19f52fb/explore_to_achieve/tasks/Action%20Sequencing/Action%20Order%20Inference/office_cubicles_left/lobby_0/corev2__category_47e03b7b97473aacca3cfd04.yaml</x:v>
      </x:c>
    </x:row>
    <x:row r="9" ht="50" customHeight="1">
      <x:c r="A9" s="44" t="str">
        <x:v>T04</x:v>
      </x:c>
      <x:c r="B9" s="54" t="str">
        <x:v>V1-修复后</x:v>
      </x:c>
      <x:c r="C9" s="56" t="str">
        <x:v>P0</x:v>
      </x:c>
      <x:c r="D9" s="44" t="str">
        <x:v>Situated Navigation &amp; Topology</x:v>
      </x:c>
      <x:c r="E9" s="44" t="str">
        <x:v>Topological relation verification</x:v>
      </x:c>
      <x:c r="F9" s="44" t="str">
        <x:v>Cognitive Mapping</x:v>
      </x:c>
      <x:c r="G9" s="44" t="str">
        <x:v>Connectivity</x:v>
      </x:c>
      <x:c r="H9" s="44" t="str">
        <x:v>Rs_int</x:v>
      </x:c>
      <x:c r="I9" s="44" t="str">
        <x:v>full_scene</x:v>
      </x:c>
      <x:c r="J9" s="44" t="str">
        <x:v>多区域／中程</x:v>
      </x:c>
      <x:c r="K9" s="46"/>
      <x:c r="L9" s="46"/>
      <x:c r="M9" s="48"/>
      <x:c r="N9" s="44" t="str">
        <x:v>2 个相关区域；1 个邻接问题；物体总数待测</x:v>
      </x:c>
      <x:c r="O9" s="44" t="str">
        <x:v>2个目标区域、1个邻接判断；任务要求base translation/rotation但保留原生门且要求真实开门。源no-door通行图不能证明当前R1可过门；是否存在必须开门的路线仍需实测。</x:v>
      </x:c>
      <x:c r="P9" s="44" t="str">
        <x:v>实测R1穿门/开门/撤出；只核对空间邻接不能代替实际访问。</x:v>
      </x:c>
      <x:c r="Q9" s="44" t="str">
        <x:v>拓扑认知／给定计划→机器人行动</x:v>
      </x:c>
      <x:c r="R9" s="44" t="str">
        <x:v>Topological reasoning;Active navigation;Evidence</x:v>
      </x:c>
      <x:c r="S9" s="44" t="str">
        <x:v>已有候选YAML；完整物理执行未认证</x:v>
      </x:c>
      <x:c r="T9" s="44" t="str">
        <x:v>源scene ID已知；Robot适配另行认证</x:v>
      </x:c>
      <x:c r="U9" s="44" t="str">
        <x:v>https://github.com/XuanCheg/Show-Harness-Explore/blob/33bada4bb278471b7a925cd8ddfa3d46a19f52fb/explore_to_achieve/tasks/Cognitive%20Mapping/Connectivity/Rs_int/full_scene/corev2__category_a8f49ca31bf5f14acf8ab31a.yaml</x:v>
      </x:c>
    </x:row>
    <x:row r="10" ht="50" customHeight="1">
      <x:c r="A10" s="44" t="str">
        <x:v>T05</x:v>
      </x:c>
      <x:c r="B10" s="54" t="str">
        <x:v>V1-修复后</x:v>
      </x:c>
      <x:c r="C10" s="44" t="str">
        <x:v>P1</x:v>
      </x:c>
      <x:c r="D10" s="44" t="str">
        <x:v>Situated Navigation &amp; Topology</x:v>
      </x:c>
      <x:c r="E10" s="44" t="str">
        <x:v>Topological relation verification</x:v>
      </x:c>
      <x:c r="F10" s="44" t="str">
        <x:v>Cognitive Mapping</x:v>
      </x:c>
      <x:c r="G10" s="44" t="str">
        <x:v>Connectivity</x:v>
      </x:c>
      <x:c r="H10" s="44" t="str">
        <x:v>house_double_floor_upper</x:v>
      </x:c>
      <x:c r="I10" s="44" t="str">
        <x:v>full_scene</x:v>
      </x:c>
      <x:c r="J10" s="44" t="str">
        <x:v>多区域／中程</x:v>
      </x:c>
      <x:c r="K10" s="46" t="n">
        <x:v>118.69</x:v>
      </x:c>
      <x:c r="L10" s="46"/>
      <x:c r="M10" s="48"/>
      <x:c r="N10" s="44" t="str">
        <x:v>5 个相关区域；5 个邻接问题；物体总数待测</x:v>
      </x:c>
      <x:c r="O10" s="44" t="str">
        <x:v>5个区域、5个邻接问题合并为一次episode；初始Agent overview被允许且历史当前版本视觉审查说能看见室内平面。需区分其RGB与human_only分割图，实测初始图是否已暴露拓扑。</x:v>
      </x:c>
      <x:c r="P10" s="44" t="str">
        <x:v>审核初始8路RGB与overview是否泄露完整平面拓扑；统一五问证据。</x:v>
      </x:c>
      <x:c r="Q10" s="44" t="str">
        <x:v>拓扑认知／给定计划→机器人行动</x:v>
      </x:c>
      <x:c r="R10" s="44" t="str">
        <x:v>Topological reasoning;Active navigation;Evidence</x:v>
      </x:c>
      <x:c r="S10" s="44" t="str">
        <x:v>已有候选YAML；完整物理执行未认证</x:v>
      </x:c>
      <x:c r="T10" s="44" t="str">
        <x:v>源scene ID已知；Robot适配另行认证</x:v>
      </x:c>
      <x:c r="U10" s="44" t="str">
        <x:v>https://github.com/XuanCheg/Show-Harness-Explore/blob/33bada4bb278471b7a925cd8ddfa3d46a19f52fb/explore_to_achieve/tasks/Cognitive%20Mapping/Connectivity/house_double_floor_upper/full_scene/corev2__category_cf3697aa6546a5518f3e5735.yaml</x:v>
      </x:c>
    </x:row>
    <x:row r="11" ht="50" customHeight="1">
      <x:c r="A11" s="44" t="str">
        <x:v>T06</x:v>
      </x:c>
      <x:c r="B11" s="52" t="str">
        <x:v>V2-储备</x:v>
      </x:c>
      <x:c r="C11" s="44" t="str">
        <x:v>P2</x:v>
      </x:c>
      <x:c r="D11" s="44" t="str">
        <x:v>Situated Navigation &amp; Topology</x:v>
      </x:c>
      <x:c r="E11" s="44" t="str">
        <x:v>Topological relation verification</x:v>
      </x:c>
      <x:c r="F11" s="44" t="str">
        <x:v>Cognitive Mapping</x:v>
      </x:c>
      <x:c r="G11" s="44" t="str">
        <x:v>Connectivity</x:v>
      </x:c>
      <x:c r="H11" s="44" t="str">
        <x:v>school_geography</x:v>
      </x:c>
      <x:c r="I11" s="44" t="str">
        <x:v>full_scene</x:v>
      </x:c>
      <x:c r="J11" s="44" t="str">
        <x:v>大空间／高成本</x:v>
      </x:c>
      <x:c r="K11" s="46" t="n">
        <x:v>465.59</x:v>
      </x:c>
      <x:c r="L11" s="46"/>
      <x:c r="M11" s="48"/>
      <x:c r="N11" s="44" t="str">
        <x:v>4 个相关区域；5 个邻接问题；物体总数待测</x:v>
      </x:c>
      <x:c r="O11" s="44" t="str">
        <x:v>4个任务相关区域、5个邻接问题；原生房间分割标签覆盖5个区域、约465.59m²，不能与118.69m²住宅共用未校准的规模假设。</x:v>
      </x:c>
      <x:c r="P11" s="44" t="str">
        <x:v>465.59 m²是标签面积；需先有可通行路径和分层预算，再归大场景压力集。</x:v>
      </x:c>
      <x:c r="Q11" s="44" t="str">
        <x:v>拓扑认知／给定计划→机器人行动</x:v>
      </x:c>
      <x:c r="R11" s="44" t="str">
        <x:v>Topological reasoning;Active navigation;Evidence</x:v>
      </x:c>
      <x:c r="S11" s="44" t="str">
        <x:v>已有候选YAML；完整物理执行未认证</x:v>
      </x:c>
      <x:c r="T11" s="44" t="str">
        <x:v>源scene ID已知；Robot适配另行认证</x:v>
      </x:c>
      <x:c r="U11" s="44" t="str">
        <x:v>https://github.com/XuanCheg/Show-Harness-Explore/blob/33bada4bb278471b7a925cd8ddfa3d46a19f52fb/explore_to_achieve/tasks/Cognitive%20Mapping/Connectivity/school_geography/full_scene/corev2__category_5296997426a116135b7c80aa.yaml</x:v>
      </x:c>
    </x:row>
    <x:row r="12" ht="50" customHeight="1">
      <x:c r="A12" s="44" t="str">
        <x:v>T07</x:v>
      </x:c>
      <x:c r="B12" s="54" t="str">
        <x:v>V1-修复后</x:v>
      </x:c>
      <x:c r="C12" s="56" t="str">
        <x:v>P0</x:v>
      </x:c>
      <x:c r="D12" s="44" t="str">
        <x:v>Situated Navigation &amp; Topology</x:v>
      </x:c>
      <x:c r="E12" s="44" t="str">
        <x:v>Ordered route following</x:v>
      </x:c>
      <x:c r="F12" s="44" t="str">
        <x:v>Cognitive Mapping</x:v>
      </x:c>
      <x:c r="G12" s="44" t="str">
        <x:v>Long-Term Navigation</x:v>
      </x:c>
      <x:c r="H12" s="44" t="str">
        <x:v>Beechwood_0_int</x:v>
      </x:c>
      <x:c r="I12" s="44" t="str">
        <x:v>full_scene</x:v>
      </x:c>
      <x:c r="J12" s="44" t="str">
        <x:v>多区域／中程</x:v>
      </x:c>
      <x:c r="K12" s="46" t="n">
        <x:v>128.1</x:v>
      </x:c>
      <x:c r="L12" s="46" t="n">
        <x:v>11.361</x:v>
      </x:c>
      <x:c r="M12" s="48"/>
      <x:c r="N12" s="44" t="str">
        <x:v>6 个给定房间目标；物体总数待测</x:v>
      </x:c>
      <x:c r="O12" s="44" t="str">
        <x:v>给定6房间顺序，不是从问题推断路线；源路径11.361m而非真实R1路线。storage_room_1标签面积仅1.831m²，需检查机器人能否真实进入、稳定停留及必要撤出。</x:v>
      </x:c>
      <x:c r="P12" s="44" t="str">
        <x:v>6房但短路径；优先验证1.831 m² storage_room_1能进出，不声称顺序推断。</x:v>
      </x:c>
      <x:c r="Q12" s="44" t="str">
        <x:v>拓扑认知／给定计划→机器人行动</x:v>
      </x:c>
      <x:c r="R12" s="44" t="str">
        <x:v>Long-range navigation;Given route;Plan execution</x:v>
      </x:c>
      <x:c r="S12" s="44" t="str">
        <x:v>已有候选YAML；完整物理执行未认证</x:v>
      </x:c>
      <x:c r="T12" s="44" t="str">
        <x:v>源scene ID已知；Robot适配另行认证</x:v>
      </x:c>
      <x:c r="U12" s="44" t="str">
        <x:v>https://github.com/XuanCheg/Show-Harness-Explore/blob/33bada4bb278471b7a925cd8ddfa3d46a19f52fb/explore_to_achieve/tasks/Cognitive%20Mapping/Long-Term%20Navigation/Beechwood_0_int/full_scene/corev2__category_bb85ad2d7d19a7fdde23a2a0.yaml</x:v>
      </x:c>
    </x:row>
    <x:row r="13" ht="50" customHeight="1">
      <x:c r="A13" s="44" t="str">
        <x:v>T08</x:v>
      </x:c>
      <x:c r="B13" s="52" t="str">
        <x:v>V2-储备</x:v>
      </x:c>
      <x:c r="C13" s="44" t="str">
        <x:v>P2</x:v>
      </x:c>
      <x:c r="D13" s="44" t="str">
        <x:v>Situated Navigation &amp; Topology</x:v>
      </x:c>
      <x:c r="E13" s="44" t="str">
        <x:v>Ordered route following</x:v>
      </x:c>
      <x:c r="F13" s="44" t="str">
        <x:v>Cognitive Mapping</x:v>
      </x:c>
      <x:c r="G13" s="44" t="str">
        <x:v>Long-Term Navigation</x:v>
      </x:c>
      <x:c r="H13" s="44" t="str">
        <x:v>office_cubicles_left</x:v>
      </x:c>
      <x:c r="I13" s="44" t="str">
        <x:v>full_scene</x:v>
      </x:c>
      <x:c r="J13" s="44" t="str">
        <x:v>大空间／高成本</x:v>
      </x:c>
      <x:c r="K13" s="46" t="n">
        <x:v>782.35</x:v>
      </x:c>
      <x:c r="L13" s="46" t="n">
        <x:v>43.831</x:v>
      </x:c>
      <x:c r="M13" s="48"/>
      <x:c r="N13" s="44" t="str">
        <x:v>4 个给定房间目标；物体总数待测</x:v>
      </x:c>
      <x:c r="O13" s="44" t="str">
        <x:v>给定4房间顺序，但源路径43.831m约为6房间住宅任务的3.86倍；完整办公室13标签区域约782.35m²。房间个数不足以代表任务负担。</x:v>
      </x:c>
      <x:c r="P13" s="44" t="str">
        <x:v>43.831m源路长和782.35m²标签面积，放V2大规模导航；不能使用未校准415步同主赛道比较。</x:v>
      </x:c>
      <x:c r="Q13" s="44" t="str">
        <x:v>拓扑认知／给定计划→机器人行动</x:v>
      </x:c>
      <x:c r="R13" s="44" t="str">
        <x:v>Long-range navigation;Given route;Plan execution</x:v>
      </x:c>
      <x:c r="S13" s="44" t="str">
        <x:v>已有候选YAML；完整物理执行未认证</x:v>
      </x:c>
      <x:c r="T13" s="44" t="str">
        <x:v>源scene ID已知；Robot适配另行认证</x:v>
      </x:c>
      <x:c r="U13" s="44" t="str">
        <x:v>https://github.com/XuanCheg/Show-Harness-Explore/blob/33bada4bb278471b7a925cd8ddfa3d46a19f52fb/explore_to_achieve/tasks/Cognitive%20Mapping/Long-Term%20Navigation/office_cubicles_left/full_scene/corev2__category_062d036de1fac0297a84732f.yaml</x:v>
      </x:c>
    </x:row>
    <x:row r="14" ht="50" customHeight="1">
      <x:c r="A14" s="44" t="str">
        <x:v>T09</x:v>
      </x:c>
      <x:c r="B14" s="50" t="str">
        <x:v>V1-对照</x:v>
      </x:c>
      <x:c r="C14" s="44" t="str">
        <x:v>P1</x:v>
      </x:c>
      <x:c r="D14" s="44" t="str">
        <x:v>Situated Navigation &amp; Topology</x:v>
      </x:c>
      <x:c r="E14" s="44" t="str">
        <x:v>Region and anchor grounding</x:v>
      </x:c>
      <x:c r="F14" s="44" t="str">
        <x:v>Cognitive Mapping</x:v>
      </x:c>
      <x:c r="G14" s="44" t="str">
        <x:v>Regional Boundary</x:v>
      </x:c>
      <x:c r="H14" s="44" t="str">
        <x:v>restaurant_cafeteria</x:v>
      </x:c>
      <x:c r="I14" s="44" t="str">
        <x:v>full_scene</x:v>
      </x:c>
      <x:c r="J14" s="44" t="str">
        <x:v>跨区域／锚点</x:v>
      </x:c>
      <x:c r="K14" s="46"/>
      <x:c r="L14" s="46"/>
      <x:c r="M14" s="48"/>
      <x:c r="N14" s="44" t="str">
        <x:v>1 个固定查询锚点；原生背景对象总数待测</x:v>
      </x:c>
      <x:c r="O14" s="44" t="str">
        <x:v>1个高处固定锚点chandelier、3个区域选项；按观察+答案评估，无需抓取。场景扩大不自动增加关系推理；高处锚点必须在实际输入中可辨认。</x:v>
      </x:c>
      <x:c r="P14" s="44" t="str">
        <x:v>锚点定位与物理到访可计分；若仅输出答案则列为Spatial QA对照而非世界状态改造任务。</x:v>
      </x:c>
      <x:c r="Q14" s="44" t="str">
        <x:v>拓扑认知／给定计划→机器人行动</x:v>
      </x:c>
      <x:c r="R14" s="44" t="str">
        <x:v>Spatial region grounding;Active observation</x:v>
      </x:c>
      <x:c r="S14" s="44" t="str">
        <x:v>已有候选YAML；完整物理执行未认证</x:v>
      </x:c>
      <x:c r="T14" s="44" t="str">
        <x:v>源scene ID已知；Robot适配另行认证</x:v>
      </x:c>
      <x:c r="U14" s="44" t="str">
        <x:v>https://github.com/XuanCheg/Show-Harness-Explore/blob/33bada4bb278471b7a925cd8ddfa3d46a19f52fb/explore_to_achieve/tasks/Cognitive%20Mapping/Regional%20Boundary/restaurant_cafeteria/full_scene/corev2__category_6f23dae3a5a0c6b26db61a50.yaml</x:v>
      </x:c>
    </x:row>
    <x:row r="15" ht="50" customHeight="1">
      <x:c r="A15" s="44" t="str">
        <x:v>T10</x:v>
      </x:c>
      <x:c r="B15" s="52" t="str">
        <x:v>合并/替换</x:v>
      </x:c>
      <x:c r="C15" s="44" t="str">
        <x:v>P2</x:v>
      </x:c>
      <x:c r="D15" s="44" t="str">
        <x:v>Situated Navigation &amp; Topology</x:v>
      </x:c>
      <x:c r="E15" s="44" t="str">
        <x:v>Region and anchor grounding</x:v>
      </x:c>
      <x:c r="F15" s="44" t="str">
        <x:v>Cognitive Mapping</x:v>
      </x:c>
      <x:c r="G15" s="44" t="str">
        <x:v>Regional Boundary</x:v>
      </x:c>
      <x:c r="H15" s="44" t="str">
        <x:v>restaurant_cafeteria</x:v>
      </x:c>
      <x:c r="I15" s="44" t="str">
        <x:v>full_scene</x:v>
      </x:c>
      <x:c r="J15" s="44" t="str">
        <x:v>跨区域／锚点</x:v>
      </x:c>
      <x:c r="K15" s="46"/>
      <x:c r="L15" s="46"/>
      <x:c r="M15" s="48"/>
      <x:c r="N15" s="44" t="str">
        <x:v>2 个固定查询锚点；原生背景对象总数待测</x:v>
      </x:c>
      <x:c r="O15" s="44" t="str">
        <x:v>2个固定锚点top_cabinet/commercial_kitchen_table，同区域问题；与前项同restaurant_cafeteria full_scene，split必须按建筑分组。</x:v>
      </x:c>
      <x:c r="P15" s="44" t="str">
        <x:v>与T09同建筑/同full_scene，可做同一诊断组2种锚点，不计算新增空间家族。</x:v>
      </x:c>
      <x:c r="Q15" s="44" t="str">
        <x:v>拓扑认知／给定计划→机器人行动</x:v>
      </x:c>
      <x:c r="R15" s="44" t="str">
        <x:v>Spatial region grounding;Active observation</x:v>
      </x:c>
      <x:c r="S15" s="44" t="str">
        <x:v>已有候选YAML；完整物理执行未认证</x:v>
      </x:c>
      <x:c r="T15" s="44" t="str">
        <x:v>源scene ID已知；Robot适配另行认证</x:v>
      </x:c>
      <x:c r="U15" s="44" t="str">
        <x:v>https://github.com/XuanCheg/Show-Harness-Explore/blob/33bada4bb278471b7a925cd8ddfa3d46a19f52fb/explore_to_achieve/tasks/Cognitive%20Mapping/Regional%20Boundary/restaurant_cafeteria/full_scene/corev2__category_2f46a8c2898ca9d05d6ac045.yaml</x:v>
      </x:c>
    </x:row>
    <x:row r="16" ht="50" customHeight="1">
      <x:c r="A16" s="44" t="str">
        <x:v>T11</x:v>
      </x:c>
      <x:c r="B16" s="54" t="str">
        <x:v>V1-修复后</x:v>
      </x:c>
      <x:c r="C16" s="56" t="str">
        <x:v>P0</x:v>
      </x:c>
      <x:c r="D16" s="44" t="str">
        <x:v>Situated Navigation &amp; Topology</x:v>
      </x:c>
      <x:c r="E16" s="44" t="str">
        <x:v>Region and anchor grounding</x:v>
      </x:c>
      <x:c r="F16" s="44" t="str">
        <x:v>Cognitive Mapping</x:v>
      </x:c>
      <x:c r="G16" s="44" t="str">
        <x:v>Regional Boundary</x:v>
      </x:c>
      <x:c r="H16" s="44" t="str">
        <x:v>school_gym</x:v>
      </x:c>
      <x:c r="I16" s="44" t="str">
        <x:v>full_scene</x:v>
      </x:c>
      <x:c r="J16" s="44" t="str">
        <x:v>跨区域／锚点</x:v>
      </x:c>
      <x:c r="K16" s="46"/>
      <x:c r="L16" s="46"/>
      <x:c r="M16" s="48"/>
      <x:c r="N16" s="44" t="str">
        <x:v>1 个固定查询锚点；原生背景对象总数待测</x:v>
      </x:c>
      <x:c r="O16" s="44" t="str">
        <x:v>问题问paper_towel_dispenser属于哪个房间，但正确选项locker room 1的描述直接写with paper towel dispenser，存在明确词面捷径；应换与查询对象无关的房间描述或增加同类锚点以消除直接包含答案的线索。</x:v>
      </x:c>
      <x:c r="P16" s="44" t="str">
        <x:v>公开选项直接包含paper_towel_dispenser答案，必须删除词面捷径再跑。</x:v>
      </x:c>
      <x:c r="Q16" s="44" t="str">
        <x:v>拓扑认知／给定计划→机器人行动</x:v>
      </x:c>
      <x:c r="R16" s="44" t="str">
        <x:v>Spatial region grounding;Active observation</x:v>
      </x:c>
      <x:c r="S16" s="44" t="str">
        <x:v>已有候选YAML；完整物理执行未认证</x:v>
      </x:c>
      <x:c r="T16" s="44" t="str">
        <x:v>源scene ID已知；Robot适配另行认证</x:v>
      </x:c>
      <x:c r="U16" s="44" t="str">
        <x:v>https://github.com/XuanCheg/Show-Harness-Explore/blob/33bada4bb278471b7a925cd8ddfa3d46a19f52fb/explore_to_achieve/tasks/Cognitive%20Mapping/Regional%20Boundary/school_gym/full_scene/corev2__category_1a55282aea78514f749fe4e0.yaml</x:v>
      </x:c>
    </x:row>
    <x:row r="17" ht="50" customHeight="1">
      <x:c r="A17" s="44" t="str">
        <x:v>T15</x:v>
      </x:c>
      <x:c r="B17" s="52" t="str">
        <x:v>合并/替换</x:v>
      </x:c>
      <x:c r="C17" s="56" t="str">
        <x:v>P0</x:v>
      </x:c>
      <x:c r="D17" s="44" t="str">
        <x:v>Geometric Feasibility &amp; Affordance</x:v>
      </x:c>
      <x:c r="E17" s="44" t="str">
        <x:v>Transparent-container placement</x:v>
      </x:c>
      <x:c r="F17" s="44" t="str">
        <x:v>Perceptual Grounding</x:v>
      </x:c>
      <x:c r="G17" s="44" t="str">
        <x:v>Material Transparency</x:v>
      </x:c>
      <x:c r="H17" s="44" t="str">
        <x:v>Beechwood_0_garden</x:v>
      </x:c>
      <x:c r="I17" s="44" t="str">
        <x:v>dining_room_0</x:v>
      </x:c>
      <x:c r="J17" s="44" t="str">
        <x:v>局部工作区／尺寸待测</x:v>
      </x:c>
      <x:c r="K17" s="46"/>
      <x:c r="L17" s="46"/>
      <x:c r="M17" s="48" t="n">
        <x:v>1</x:v>
      </x:c>
      <x:c r="N17" s="44" t="str">
        <x:v>2 个去重相关物体：cleansing_bottle、cherry_tomato</x:v>
      </x:c>
      <x:c r="O17" s="44" t="str">
        <x:v>当前 native AABB 显示 cherry_tomato 与 cleansing_bottle 沿 y 相隔约 7.6 mm，支持初态在瓶外，不能视为已在内部的 no-op。瓶身外包围盒约 8.7 cm 宽、番茄约 4.2 cm 宽；瓶口净宽和持物夹爪入口路径均未验证，不能由瓶身宽推断能插入。</x:v>
      </x:c>
      <x:c r="P17" s="44" t="str">
        <x:v>番茄→cleansing_bottle的瓶口可通过性未证；换为可验证宽口透明容器并设置透明/不透明对照。</x:v>
      </x:c>
      <x:c r="Q17" s="44" t="str">
        <x:v>已知环境下的物理推理→行动</x:v>
      </x:c>
      <x:c r="R17" s="44" t="str">
        <x:v>Transparency;Containment;Physical feasibility</x:v>
      </x:c>
      <x:c r="S17" s="44" t="str">
        <x:v>已有候选YAML；完整物理执行未认证</x:v>
      </x:c>
      <x:c r="T17" s="44" t="str">
        <x:v>源scene ID已知；Robot适配另行认证</x:v>
      </x:c>
      <x:c r="U17" s="44" t="str">
        <x:v>https://github.com/XuanCheg/Show-Harness-Explore/blob/33bada4bb278471b7a925cd8ddfa3d46a19f52fb/explore_to_achieve/tasks/Perceptual%20Grounding/Material%20Transparency/Beechwood_0_garden/dining_room_0/corev2__category_a819197786bd511068cee095.yaml</x:v>
      </x:c>
    </x:row>
    <x:row r="18" ht="50" customHeight="1">
      <x:c r="A18" s="44" t="str">
        <x:v>T16</x:v>
      </x:c>
      <x:c r="B18" s="52" t="str">
        <x:v>V2-储备</x:v>
      </x:c>
      <x:c r="C18" s="44" t="str">
        <x:v>P2</x:v>
      </x:c>
      <x:c r="D18" s="44" t="str">
        <x:v>Geometric Feasibility &amp; Affordance</x:v>
      </x:c>
      <x:c r="E18" s="44" t="str">
        <x:v>Transparent-container placement</x:v>
      </x:c>
      <x:c r="F18" s="44" t="str">
        <x:v>Perceptual Grounding</x:v>
      </x:c>
      <x:c r="G18" s="44" t="str">
        <x:v>Material Transparency</x:v>
      </x:c>
      <x:c r="H18" s="44" t="str">
        <x:v>restaurant_hotel</x:v>
      </x:c>
      <x:c r="I18" s="44" t="str">
        <x:v>lobby_0</x:v>
      </x:c>
      <x:c r="J18" s="44" t="str">
        <x:v>局部工作区／尺寸待测</x:v>
      </x:c>
      <x:c r="K18" s="46"/>
      <x:c r="L18" s="46"/>
      <x:c r="M18" s="48" t="n">
        <x:v>1</x:v>
      </x:c>
      <x:c r="N18" s="44" t="str">
        <x:v>2 个去重相关物体：round_bottom_flask、dice</x:v>
      </x:c>
      <x:c r="O18" s="44" t="str">
        <x:v>烧瓶颈口可能比瓶身小得多；dice 的可通过对角线与夹爪退手空间未知。圆底烧瓶本身的支撑稳定性也会影响插入；未读取该项 current native receipt，不能断言初态 inside 或 outside。</x:v>
      </x:c>
      <x:c r="P18" s="44" t="str">
        <x:v>烧瓶瓶颈与骰子+夹指净空间未知；若初态已Inside只做验证对照。</x:v>
      </x:c>
      <x:c r="Q18" s="44" t="str">
        <x:v>已知环境下的物理推理→行动</x:v>
      </x:c>
      <x:c r="R18" s="44" t="str">
        <x:v>Transparency;Containment;Physical feasibility</x:v>
      </x:c>
      <x:c r="S18" s="44" t="str">
        <x:v>已有候选YAML；完整物理执行未认证</x:v>
      </x:c>
      <x:c r="T18" s="44" t="str">
        <x:v>源scene ID已知；Robot适配另行认证</x:v>
      </x:c>
      <x:c r="U18" s="44" t="str">
        <x:v>https://github.com/XuanCheg/Show-Harness-Explore/blob/33bada4bb278471b7a925cd8ddfa3d46a19f52fb/explore_to_achieve/tasks/Perceptual%20Grounding/Material%20Transparency/restaurant_hotel/lobby_0/corev2__category_54f951b6a29855a51844da54.yaml</x:v>
      </x:c>
    </x:row>
    <x:row r="19" ht="50" customHeight="1">
      <x:c r="A19" s="44" t="str">
        <x:v>T17</x:v>
      </x:c>
      <x:c r="B19" s="52" t="str">
        <x:v>V2-储备</x:v>
      </x:c>
      <x:c r="C19" s="44" t="str">
        <x:v>P2</x:v>
      </x:c>
      <x:c r="D19" s="44" t="str">
        <x:v>Geometric Feasibility &amp; Affordance</x:v>
      </x:c>
      <x:c r="E19" s="44" t="str">
        <x:v>Transparent-container placement</x:v>
      </x:c>
      <x:c r="F19" s="44" t="str">
        <x:v>Perceptual Grounding</x:v>
      </x:c>
      <x:c r="G19" s="44" t="str">
        <x:v>Material Transparency</x:v>
      </x:c>
      <x:c r="H19" s="44" t="str">
        <x:v>school_gym</x:v>
      </x:c>
      <x:c r="I19" s="44" t="str">
        <x:v>locker_room_1</x:v>
      </x:c>
      <x:c r="J19" s="44" t="str">
        <x:v>局部工作区／尺寸待测</x:v>
      </x:c>
      <x:c r="K19" s="46"/>
      <x:c r="L19" s="46"/>
      <x:c r="M19" s="48" t="n">
        <x:v>1</x:v>
      </x:c>
      <x:c r="N19" s="44" t="str">
        <x:v>2 个去重相关物体：solvent_bottle、dice</x:v>
      </x:c>
      <x:c r="O19" s="44" t="str">
        <x:v>溶剂瓶颈可能限制骰子通过，外部 AABB 不能说明入口。成组重定位保持相对几何不自动保证原始包含关系经过沉降仍成立；更衣间支撑边缘可能限制手部接近和撤回。</x:v>
      </x:c>
      <x:c r="P19" s="44" t="str">
        <x:v>solvent_bottle 瓶颈可通过性与更衣间退手未证，等待物理轨迹。</x:v>
      </x:c>
      <x:c r="Q19" s="44" t="str">
        <x:v>已知环境下的物理推理→行动</x:v>
      </x:c>
      <x:c r="R19" s="44" t="str">
        <x:v>Transparency;Containment;Physical feasibility</x:v>
      </x:c>
      <x:c r="S19" s="44" t="str">
        <x:v>已有候选YAML；完整物理执行未认证</x:v>
      </x:c>
      <x:c r="T19" s="44" t="str">
        <x:v>源scene ID已知；Robot适配另行认证</x:v>
      </x:c>
      <x:c r="U19" s="44" t="str">
        <x:v>https://github.com/XuanCheg/Show-Harness-Explore/blob/33bada4bb278471b7a925cd8ddfa3d46a19f52fb/explore_to_achieve/tasks/Perceptual%20Grounding/Material%20Transparency/school_gym/locker_room_1/corev2__category_720f0847910173edaef41d45.yaml</x:v>
      </x:c>
    </x:row>
    <x:row r="20" ht="50" customHeight="1">
      <x:c r="A20" s="44" t="str">
        <x:v>T18</x:v>
      </x:c>
      <x:c r="B20" s="52" t="str">
        <x:v>V2-储备</x:v>
      </x:c>
      <x:c r="C20" s="44" t="str">
        <x:v>P2</x:v>
      </x:c>
      <x:c r="D20" s="44" t="str">
        <x:v>Physical Planning &amp; Experimentation</x:v>
      </x:c>
      <x:c r="E20" s="44" t="str">
        <x:v>Stability-constrained construction</x:v>
      </x:c>
      <x:c r="F20" s="44" t="str">
        <x:v>Physical Dynamics</x:v>
      </x:c>
      <x:c r="G20" s="44" t="str">
        <x:v>Stacking &amp; Stability</x:v>
      </x:c>
      <x:c r="H20" s="44" t="str">
        <x:v>Beechwood_0_garden</x:v>
      </x:c>
      <x:c r="I20" s="44" t="str">
        <x:v>dining_room_0</x:v>
      </x:c>
      <x:c r="J20" s="44" t="str">
        <x:v>局部工作区／尺寸待测</x:v>
      </x:c>
      <x:c r="K20" s="46"/>
      <x:c r="L20" s="46"/>
      <x:c r="M20" s="48" t="n">
        <x:v>3</x:v>
      </x:c>
      <x:c r="N20" s="44" t="str">
        <x:v>3 个去重相关物体：outline_tray、coffee_bean_jar、refried_beans_can</x:v>
      </x:c>
      <x:c r="O20" s="44" t="str">
        <x:v>source AABB：outline_tray 约 12.6×27.8×4.5 cm，coffee_bean_jar 与 refried_beans_can 均约 15.6×13.0×20.5 cm。后两者整体最小维约 13 cm；在夹爪口径约 10 cm 的系统中，不能假定常规整物侧夹可行。薄托盘的边缘与接触面也影响稳定堆叠。</x:v>
      </x:c>
      <x:c r="P20" s="44" t="str">
        <x:v>两罐整体最小尺寸约13cm而夹爪口约10cm；需要可执行合法抓取与稳定3层塔。</x:v>
      </x:c>
      <x:c r="Q20" s="44" t="str">
        <x:v>已知环境下的物理推理→行动</x:v>
      </x:c>
      <x:c r="R20" s="44" t="str">
        <x:v>Physical stability;Support relations;Manipulation</x:v>
      </x:c>
      <x:c r="S20" s="44" t="str">
        <x:v>已有候选YAML；完整物理执行未认证</x:v>
      </x:c>
      <x:c r="T20" s="44" t="str">
        <x:v>源scene ID已知；Robot适配另行认证</x:v>
      </x:c>
      <x:c r="U20" s="44" t="str">
        <x:v>https://github.com/XuanCheg/Show-Harness-Explore/blob/33bada4bb278471b7a925cd8ddfa3d46a19f52fb/explore_to_achieve/tasks/Physical%20Dynamics/Stacking%20%26%20Stability/Beechwood_0_garden/dining_room_0/corev2__category_6101117684a66f96ee6f4bef.yaml</x:v>
      </x:c>
    </x:row>
    <x:row r="21" ht="50" customHeight="1">
      <x:c r="A21" s="44" t="str">
        <x:v>T19</x:v>
      </x:c>
      <x:c r="B21" s="54" t="str">
        <x:v>V1-修复后</x:v>
      </x:c>
      <x:c r="C21" s="44" t="str">
        <x:v>P1</x:v>
      </x:c>
      <x:c r="D21" s="44" t="str">
        <x:v>Physical Planning &amp; Experimentation</x:v>
      </x:c>
      <x:c r="E21" s="44" t="str">
        <x:v>Stability-constrained construction</x:v>
      </x:c>
      <x:c r="F21" s="44" t="str">
        <x:v>Physical Dynamics</x:v>
      </x:c>
      <x:c r="G21" s="44" t="str">
        <x:v>Stacking &amp; Stability</x:v>
      </x:c>
      <x:c r="H21" s="44" t="str">
        <x:v>house_single_floor</x:v>
      </x:c>
      <x:c r="I21" s="44" t="str">
        <x:v>childs_room_0</x:v>
      </x:c>
      <x:c r="J21" s="44" t="str">
        <x:v>局部工作区／尺寸待测</x:v>
      </x:c>
      <x:c r="K21" s="46"/>
      <x:c r="L21" s="46"/>
      <x:c r="M21" s="48" t="n">
        <x:v>3</x:v>
      </x:c>
      <x:c r="N21" s="44" t="str">
        <x:v>3 个去重相关物体：paperback_book、bowl、lunch_box</x:v>
      </x:c>
      <x:c r="O21" s="44" t="str">
        <x:v>paperback_book 的 source AABB 厚度仅约 8 mm，平贴桌面时夹指入口可能不足；bowl 的弧面/碗沿与 lunch_box 的平面会使稳定接触顺序非平凡。独立支撑布局增加的移动负担应与塔推理解耦。</x:v>
      </x:c>
      <x:c r="P21" s="44" t="str">
        <x:v>薄书约8mm需开放书边夹指入口；完成碗/盒稳定支撑链。</x:v>
      </x:c>
      <x:c r="Q21" s="44" t="str">
        <x:v>已知环境下的物理推理→行动</x:v>
      </x:c>
      <x:c r="R21" s="44" t="str">
        <x:v>Physical stability;Support relations;Manipulation</x:v>
      </x:c>
      <x:c r="S21" s="44" t="str">
        <x:v>已有候选YAML；完整物理执行未认证</x:v>
      </x:c>
      <x:c r="T21" s="44" t="str">
        <x:v>源scene ID已知；Robot适配另行认证</x:v>
      </x:c>
      <x:c r="U21" s="44" t="str">
        <x:v>https://github.com/XuanCheg/Show-Harness-Explore/blob/33bada4bb278471b7a925cd8ddfa3d46a19f52fb/explore_to_achieve/tasks/Physical%20Dynamics/Stacking%20%26%20Stability/house_single_floor/childs_room_0/corev2__category_4c36dd4dc5bbbe9bc7e787d1.yaml</x:v>
      </x:c>
    </x:row>
    <x:row r="22" ht="50" customHeight="1">
      <x:c r="A22" s="44" t="str">
        <x:v>T20</x:v>
      </x:c>
      <x:c r="B22" s="52" t="str">
        <x:v>V2-储备</x:v>
      </x:c>
      <x:c r="C22" s="44" t="str">
        <x:v>P2</x:v>
      </x:c>
      <x:c r="D22" s="44" t="str">
        <x:v>Physical Planning &amp; Experimentation</x:v>
      </x:c>
      <x:c r="E22" s="44" t="str">
        <x:v>Stability-constrained construction</x:v>
      </x:c>
      <x:c r="F22" s="44" t="str">
        <x:v>Physical Dynamics</x:v>
      </x:c>
      <x:c r="G22" s="44" t="str">
        <x:v>Stacking &amp; Stability</x:v>
      </x:c>
      <x:c r="H22" s="44" t="str">
        <x:v>office_cubicles_right</x:v>
      </x:c>
      <x:c r="I22" s="44" t="str">
        <x:v>lobby_0</x:v>
      </x:c>
      <x:c r="J22" s="44" t="str">
        <x:v>局部工作区／尺寸待测</x:v>
      </x:c>
      <x:c r="K22" s="46"/>
      <x:c r="L22" s="46"/>
      <x:c r="M22" s="48" t="n">
        <x:v>3</x:v>
      </x:c>
      <x:c r="N22" s="44" t="str">
        <x:v>3 个去重相关物体：can_of_tomatoes、mixing_bowl、tomato_sauce_jar</x:v>
      </x:c>
      <x:c r="O22" s="44" t="str">
        <x:v>source AABB：mixing_bowl 约 29.3×25.9×14.2 cm，tomato_sauce_jar 约 15.6×13.0×20.5 cm，均存在整体跨越 10 cm 夹爪宽度的筛查问题；can_of_tomatoes 约 8.5×8.5×11.8 cm 较小。碗沿局部抓取可能成立，尚不能仅按整体宽度淘汰。</x:v>
      </x:c>
      <x:c r="P22" s="44" t="str">
        <x:v>大碗29.3×25.9cm，罐约15.6×13cm，优先单独局部抓取诊断。</x:v>
      </x:c>
      <x:c r="Q22" s="44" t="str">
        <x:v>已知环境下的物理推理→行动</x:v>
      </x:c>
      <x:c r="R22" s="44" t="str">
        <x:v>Physical stability;Support relations;Manipulation</x:v>
      </x:c>
      <x:c r="S22" s="44" t="str">
        <x:v>已有候选YAML；完整物理执行未认证</x:v>
      </x:c>
      <x:c r="T22" s="44" t="str">
        <x:v>源scene ID已知；Robot适配另行认证</x:v>
      </x:c>
      <x:c r="U22" s="44" t="str">
        <x:v>https://github.com/XuanCheg/Show-Harness-Explore/blob/33bada4bb278471b7a925cd8ddfa3d46a19f52fb/explore_to_achieve/tasks/Physical%20Dynamics/Stacking%20%26%20Stability/office_cubicles_right/lobby_0/corev2__category_32485510e87a6ad8f32178d7.yaml</x:v>
      </x:c>
    </x:row>
    <x:row r="23" ht="50" customHeight="1">
      <x:c r="A23" s="44" t="str">
        <x:v>T21</x:v>
      </x:c>
      <x:c r="B23" s="52" t="str">
        <x:v>合并/替换</x:v>
      </x:c>
      <x:c r="C23" s="44" t="str">
        <x:v>P1</x:v>
      </x:c>
      <x:c r="D23" s="44" t="str">
        <x:v>Physical Planning &amp; Experimentation</x:v>
      </x:c>
      <x:c r="E23" s="44" t="str">
        <x:v>Stability-constrained construction</x:v>
      </x:c>
      <x:c r="F23" s="44" t="str">
        <x:v>Physical Dynamics</x:v>
      </x:c>
      <x:c r="G23" s="44" t="str">
        <x:v>Stacking &amp; Stability</x:v>
      </x:c>
      <x:c r="H23" s="44" t="str">
        <x:v>restaurant_asian</x:v>
      </x:c>
      <x:c r="I23" s="44" t="str">
        <x:v>bathroom_0</x:v>
      </x:c>
      <x:c r="J23" s="44" t="str">
        <x:v>局部工作区／尺寸待测</x:v>
      </x:c>
      <x:c r="K23" s="46"/>
      <x:c r="L23" s="46"/>
      <x:c r="M23" s="48" t="n">
        <x:v>3</x:v>
      </x:c>
      <x:c r="N23" s="44" t="str">
        <x:v>3 个去重相关物体：chopping_board、shoe_box、box_of_cookies</x:v>
      </x:c>
      <x:c r="O23" s="44" t="str">
        <x:v>当前 native 不是一张共同工作台：桌面尺寸分别约 0.45×0.474、0.45×0.40、0.45×0.40 m，高均 0.5 m。浴室加三桌会引入跨桌搬运、底盘回转与夹爪接近负担；只证明桌脚落在地板上，不等于通路足够。</x:v>
      </x:c>
      <x:c r="P23" s="44" t="str">
        <x:v>浴室内三张45cm台桌引入非目标导航，替换为单个足够面积的合法工作站。</x:v>
      </x:c>
      <x:c r="Q23" s="44" t="str">
        <x:v>已知环境下的物理推理→行动</x:v>
      </x:c>
      <x:c r="R23" s="44" t="str">
        <x:v>Physical stability;Support relations;Manipulation</x:v>
      </x:c>
      <x:c r="S23" s="44" t="str">
        <x:v>已有候选YAML；完整物理执行未认证</x:v>
      </x:c>
      <x:c r="T23" s="44" t="str">
        <x:v>源scene ID已知；Robot适配另行认证</x:v>
      </x:c>
      <x:c r="U23" s="44" t="str">
        <x:v>https://github.com/XuanCheg/Show-Harness-Explore/blob/33bada4bb278471b7a925cd8ddfa3d46a19f52fb/explore_to_achieve/tasks/Physical%20Dynamics/Stacking%20%26%20Stability/restaurant_asian/bathroom_0/corev2__category_ff15948e066184024f87df96.yaml</x:v>
      </x:c>
    </x:row>
    <x:row r="24" ht="50" customHeight="1">
      <x:c r="A24" s="44" t="str">
        <x:v>T22</x:v>
      </x:c>
      <x:c r="B24" s="58" t="str">
        <x:v>V1-核心候选</x:v>
      </x:c>
      <x:c r="C24" s="44" t="str">
        <x:v>P1</x:v>
      </x:c>
      <x:c r="D24" s="44" t="str">
        <x:v>Geometric Feasibility &amp; Affordance</x:v>
      </x:c>
      <x:c r="E24" s="44" t="str">
        <x:v>Container selection and partial insertion</x:v>
      </x:c>
      <x:c r="F24" s="44" t="str">
        <x:v>Physical Structure</x:v>
      </x:c>
      <x:c r="G24" s="44" t="str">
        <x:v>Rigid Containment</x:v>
      </x:c>
      <x:c r="H24" s="44" t="str">
        <x:v>Beechwood_0_int</x:v>
      </x:c>
      <x:c r="I24" s="44" t="str">
        <x:v>living_room_1</x:v>
      </x:c>
      <x:c r="J24" s="44" t="str">
        <x:v>局部工作区／尺寸待测</x:v>
      </x:c>
      <x:c r="K24" s="46"/>
      <x:c r="L24" s="46"/>
      <x:c r="M24" s="48" t="n">
        <x:v>1</x:v>
      </x:c>
      <x:c r="N24" s="44" t="str">
        <x:v>1 个目标 + 3 个候选容器</x:v>
      </x:c>
      <x:c r="O24" s="44" t="str">
        <x:v>1个gift_box目标、3个同类packing_box容器；目标到容器桌中心声明欧氏距离3.7697m。当前资格收据支持成立；目标整体AABB约24.5×18.5×28.5cm，不能用10cm夹爪开口直接包络，须验证局部可夹部位。</x:v>
      </x:c>
      <x:c r="P24" s="44" t="str">
        <x:v>已有人工布局审查，需优先验证礼盒局部可夹部位及3.77m运送链。</x:v>
      </x:c>
      <x:c r="Q24" s="44" t="str">
        <x:v>已知环境下的物理推理→行动</x:v>
      </x:c>
      <x:c r="R24" s="44" t="str">
        <x:v>Physical feasibility;Containment;Grasping</x:v>
      </x:c>
      <x:c r="S24" s="44" t="str">
        <x:v>已有布局人工审查；物理动作未完整认证</x:v>
      </x:c>
      <x:c r="T24" s="44" t="str">
        <x:v>源scene ID已知；Robot适配另行认证</x:v>
      </x:c>
      <x:c r="U24" s="44" t="str">
        <x:v>https://github.com/XuanCheg/Show-Harness-Explore/blob/33bada4bb278471b7a925cd8ddfa3d46a19f52fb/explore_to_achieve/tasks/Physical%20Structure/Rigid%20Containment/Beechwood_0_int/living_room_1/Beechwood_0_int_scene_dict_storage2_0_revised.yaml</x:v>
      </x:c>
    </x:row>
    <x:row r="25" ht="50" customHeight="1">
      <x:c r="A25" s="44" t="str">
        <x:v>T23</x:v>
      </x:c>
      <x:c r="B25" s="58" t="str">
        <x:v>V1-核心候选</x:v>
      </x:c>
      <x:c r="C25" s="44" t="str">
        <x:v>P1</x:v>
      </x:c>
      <x:c r="D25" s="44" t="str">
        <x:v>Geometric Feasibility &amp; Affordance</x:v>
      </x:c>
      <x:c r="E25" s="44" t="str">
        <x:v>Container selection and partial insertion</x:v>
      </x:c>
      <x:c r="F25" s="44" t="str">
        <x:v>Physical Structure</x:v>
      </x:c>
      <x:c r="G25" s="44" t="str">
        <x:v>Rigid Containment</x:v>
      </x:c>
      <x:c r="H25" s="44" t="str">
        <x:v>Beechwood_1_int</x:v>
      </x:c>
      <x:c r="I25" s="44" t="str">
        <x:v>television_room_0</x:v>
      </x:c>
      <x:c r="J25" s="44" t="str">
        <x:v>局部工作区／尺寸待测</x:v>
      </x:c>
      <x:c r="K25" s="46"/>
      <x:c r="L25" s="46"/>
      <x:c r="M25" s="48" t="n">
        <x:v>3</x:v>
      </x:c>
      <x:c r="N25" s="44" t="str">
        <x:v>3 个目标 + 3 个候选容器</x:v>
      </x:c>
      <x:c r="O25" s="44" t="str">
        <x:v>3个目标granola_box/spray_can/colored_pencil，3个容器bucket/wicker_basket/mug；目标到容器桌声明欧氏距离1.20–1.51m。允许验证后移除物体释放共享容器，评分不是要求所有目标永久同时在容器内。</x:v>
      </x:c>
      <x:c r="P25" s="44" t="str">
        <x:v>3目标3容器；评分口径是逐个成功插入、可移出，不要误报同时容纳。</x:v>
      </x:c>
      <x:c r="Q25" s="44" t="str">
        <x:v>已知环境下的物理推理→行动</x:v>
      </x:c>
      <x:c r="R25" s="44" t="str">
        <x:v>Physical feasibility;Containment;Grasping</x:v>
      </x:c>
      <x:c r="S25" s="44" t="str">
        <x:v>已有布局人工审查；物理动作未完整认证</x:v>
      </x:c>
      <x:c r="T25" s="44" t="str">
        <x:v>源scene ID已知；Robot适配另行认证</x:v>
      </x:c>
      <x:c r="U25" s="44" t="str">
        <x:v>https://github.com/XuanCheg/Show-Harness-Explore/blob/33bada4bb278471b7a925cd8ddfa3d46a19f52fb/explore_to_achieve/tasks/Physical%20Structure/Rigid%20Containment/Beechwood_1_int/television_room_0/Beechwood_1_int_scene_dict_storage2_1_revised__criterion_4.yaml</x:v>
      </x:c>
    </x:row>
    <x:row r="26" ht="50" customHeight="1">
      <x:c r="A26" s="44" t="str">
        <x:v>T24</x:v>
      </x:c>
      <x:c r="B26" s="58" t="str">
        <x:v>V1-核心候选</x:v>
      </x:c>
      <x:c r="C26" s="44" t="str">
        <x:v>P1</x:v>
      </x:c>
      <x:c r="D26" s="44" t="str">
        <x:v>Geometric Feasibility &amp; Affordance</x:v>
      </x:c>
      <x:c r="E26" s="44" t="str">
        <x:v>Container selection and partial insertion</x:v>
      </x:c>
      <x:c r="F26" s="44" t="str">
        <x:v>Physical Structure</x:v>
      </x:c>
      <x:c r="G26" s="44" t="str">
        <x:v>Rigid Containment</x:v>
      </x:c>
      <x:c r="H26" s="44" t="str">
        <x:v>Ihlen_1_int</x:v>
      </x:c>
      <x:c r="I26" s="44" t="str">
        <x:v>living_room_0</x:v>
      </x:c>
      <x:c r="J26" s="44" t="str">
        <x:v>局部工作区／尺寸待测</x:v>
      </x:c>
      <x:c r="K26" s="46"/>
      <x:c r="L26" s="46"/>
      <x:c r="M26" s="48" t="n">
        <x:v>1</x:v>
      </x:c>
      <x:c r="N26" s="44" t="str">
        <x:v>1 个目标 + 3 个候选容器</x:v>
      </x:c>
      <x:c r="O26" s="44" t="str">
        <x:v>1个first_aid_kit、3个容器tote/packing_box/mug；声明欧氏距离0.9617m，不是真实运输距离。需检查first_aid_kit的可夹边/把手、容器开口及手部撤出。</x:v>
      </x:c>
      <x:c r="P26" s="44" t="str">
        <x:v>最短0.96m端点距离便于低成本执行；仍需first_aid_kit合法抓取与入口。</x:v>
      </x:c>
      <x:c r="Q26" s="44" t="str">
        <x:v>已知环境下的物理推理→行动</x:v>
      </x:c>
      <x:c r="R26" s="44" t="str">
        <x:v>Physical feasibility;Containment;Grasping</x:v>
      </x:c>
      <x:c r="S26" s="44" t="str">
        <x:v>已有布局人工审查；物理动作未完整认证</x:v>
      </x:c>
      <x:c r="T26" s="44" t="str">
        <x:v>源scene ID已知；Robot适配另行认证</x:v>
      </x:c>
      <x:c r="U26" s="44" t="str">
        <x:v>https://github.com/XuanCheg/Show-Harness-Explore/blob/33bada4bb278471b7a925cd8ddfa3d46a19f52fb/explore_to_achieve/tasks/Physical%20Structure/Rigid%20Containment/Ihlen_1_int/living_room_0/Ihlen_1_int_scene_dict_storage2_1_revised.yaml</x:v>
      </x:c>
    </x:row>
    <x:row r="27" ht="50" customHeight="1">
      <x:c r="A27" s="44" t="str">
        <x:v>T25</x:v>
      </x:c>
      <x:c r="B27" s="58" t="str">
        <x:v>V1-核心候选</x:v>
      </x:c>
      <x:c r="C27" s="44" t="str">
        <x:v>P1</x:v>
      </x:c>
      <x:c r="D27" s="44" t="str">
        <x:v>Geometric Feasibility &amp; Affordance</x:v>
      </x:c>
      <x:c r="E27" s="44" t="str">
        <x:v>Container selection and partial insertion</x:v>
      </x:c>
      <x:c r="F27" s="44" t="str">
        <x:v>Physical Structure</x:v>
      </x:c>
      <x:c r="G27" s="44" t="str">
        <x:v>Rigid Containment</x:v>
      </x:c>
      <x:c r="H27" s="44" t="str">
        <x:v>hall_arch_wood</x:v>
      </x:c>
      <x:c r="I27" s="44" t="str">
        <x:v>empty_room_0</x:v>
      </x:c>
      <x:c r="J27" s="44" t="str">
        <x:v>局部工作区／尺寸待测</x:v>
      </x:c>
      <x:c r="K27" s="46"/>
      <x:c r="L27" s="46"/>
      <x:c r="M27" s="48" t="n">
        <x:v>1</x:v>
      </x:c>
      <x:c r="N27" s="44" t="str">
        <x:v>1 个目标 + 3 个候选容器</x:v>
      </x:c>
      <x:c r="O27" s="44" t="str">
        <x:v>1个banana、3个容器wicker_basket/tupperware/bowl，声明欧氏距离3.2304m。当前柱体修复资格收据支持稳定、robot_nonfloor_contacts=[]、furniture_aabb_overlap_candidates=[]；不要把旧柱体问题重复当现状。</x:v>
      </x:c>
      <x:c r="P27" s="44" t="str">
        <x:v>已有布局修复证据，验证香蕉和容器的真实抓取/释放，路径非欧距。</x:v>
      </x:c>
      <x:c r="Q27" s="44" t="str">
        <x:v>已知环境下的物理推理→行动</x:v>
      </x:c>
      <x:c r="R27" s="44" t="str">
        <x:v>Physical feasibility;Containment;Grasping</x:v>
      </x:c>
      <x:c r="S27" s="44" t="str">
        <x:v>已有布局人工审查；物理动作未完整认证</x:v>
      </x:c>
      <x:c r="T27" s="44" t="str">
        <x:v>源scene ID已知；Robot适配另行认证</x:v>
      </x:c>
      <x:c r="U27" s="44" t="str">
        <x:v>https://github.com/XuanCheg/Show-Harness-Explore/blob/33bada4bb278471b7a925cd8ddfa3d46a19f52fb/explore_to_achieve/tasks/Physical%20Structure/Rigid%20Containment/hall_arch_wood/empty_room_0/corev2__category_654f8bfa37612193a879dd59__pillar_repair.yaml</x:v>
      </x:c>
    </x:row>
    <x:row r="28" ht="50" customHeight="1">
      <x:c r="A28" s="44" t="str">
        <x:v>T26</x:v>
      </x:c>
      <x:c r="B28" s="58" t="str">
        <x:v>V1-核心候选</x:v>
      </x:c>
      <x:c r="C28" s="44" t="str">
        <x:v>P1</x:v>
      </x:c>
      <x:c r="D28" s="44" t="str">
        <x:v>Spatial Reasoning-to-Action</x:v>
      </x:c>
      <x:c r="E28" s="44" t="str">
        <x:v>Planar geometric arrangement</x:v>
      </x:c>
      <x:c r="F28" s="44" t="str">
        <x:v>Spatial Relations</x:v>
      </x:c>
      <x:c r="G28" s="44" t="str">
        <x:v>Geometric Configuration</x:v>
      </x:c>
      <x:c r="H28" s="44" t="str">
        <x:v>Beechwood_0_garden</x:v>
      </x:c>
      <x:c r="I28" s="44" t="str">
        <x:v>utility_room_0</x:v>
      </x:c>
      <x:c r="J28" s="44" t="str">
        <x:v>局部工作区／尺寸待测</x:v>
      </x:c>
      <x:c r="K28" s="46"/>
      <x:c r="L28" s="46"/>
      <x:c r="M28" s="48" t="n">
        <x:v>3</x:v>
      </x:c>
      <x:c r="N28" s="44" t="str">
        <x:v>3 个去重相关物体：lime_juice_bottle、bottle_of_vinegar、jar_of_jam</x:v>
      </x:c>
      <x:c r="O28" s="44" t="str">
        <x:v>三个参与物体是 lime_juice_bottle、bottle_of_vinegar、jar_of_jam；source 位置范围约 0.519×0.449 m，但这是历史布局而非当前可操作桌面。随机非目标初态要求真实移动，桌边/墙面必须为全部顶点留下余量。</x:v>
      </x:c>
      <x:c r="P28" s="44" t="str">
        <x:v>局部0.519×0.449m历史包络不等于当前有效工作台；保留真正重排。</x:v>
      </x:c>
      <x:c r="Q28" s="44" t="str">
        <x:v>已知环境下的物理推理→行动</x:v>
      </x:c>
      <x:c r="R28" s="44" t="str">
        <x:v>Spatial geometry;Physical reconfiguration;Manipulation</x:v>
      </x:c>
      <x:c r="S28" s="44" t="str">
        <x:v>已有候选YAML；完整物理执行未认证</x:v>
      </x:c>
      <x:c r="T28" s="44" t="str">
        <x:v>源scene ID已知；Robot适配另行认证</x:v>
      </x:c>
      <x:c r="U28" s="44" t="str">
        <x:v>https://github.com/XuanCheg/Show-Harness-Explore/blob/33bada4bb278471b7a925cd8ddfa3d46a19f52fb/explore_to_achieve/tasks/Spatial%20Relations/Geometric%20Configuration/Beechwood_0_garden/utility_room_0/corev2__category_bdb79bcc5beee90cfb942a32.yaml</x:v>
      </x:c>
    </x:row>
    <x:row r="29" ht="50" customHeight="1">
      <x:c r="A29" s="44" t="str">
        <x:v>T27</x:v>
      </x:c>
      <x:c r="B29" s="58" t="str">
        <x:v>V1-核心候选</x:v>
      </x:c>
      <x:c r="C29" s="44" t="str">
        <x:v>P1</x:v>
      </x:c>
      <x:c r="D29" s="44" t="str">
        <x:v>Spatial Reasoning-to-Action</x:v>
      </x:c>
      <x:c r="E29" s="44" t="str">
        <x:v>Planar geometric arrangement</x:v>
      </x:c>
      <x:c r="F29" s="44" t="str">
        <x:v>Spatial Relations</x:v>
      </x:c>
      <x:c r="G29" s="44" t="str">
        <x:v>Geometric Configuration</x:v>
      </x:c>
      <x:c r="H29" s="44" t="str">
        <x:v>Beechwood_0_garden</x:v>
      </x:c>
      <x:c r="I29" s="44" t="str">
        <x:v>garden_0</x:v>
      </x:c>
      <x:c r="J29" s="44" t="str">
        <x:v>局部工作区／尺寸待测</x:v>
      </x:c>
      <x:c r="K29" s="46"/>
      <x:c r="L29" s="46"/>
      <x:c r="M29" s="48" t="n">
        <x:v>3</x:v>
      </x:c>
      <x:c r="N29" s="44" t="str">
        <x:v>3 个去重相关物体：vase、snow_globe、alarm_clock</x:v>
      </x:c>
      <x:c r="O29" s="44" t="str">
        <x:v>vase、snow_globe、alarm_clock 外形差异导致可视中心与 AABB 中心不一致；花园大范围自由空间不等于物体各顶点可在同一支撑面稳定释放。独立物体底座与玻璃球视觉特性可能加入非目标难度。</x:v>
      </x:c>
      <x:c r="P29" s="44" t="str">
        <x:v>保留garden跨场景，但需共同支撑平台和稳定重排，不能把大花园当任务规模。</x:v>
      </x:c>
      <x:c r="Q29" s="44" t="str">
        <x:v>已知环境下的物理推理→行动</x:v>
      </x:c>
      <x:c r="R29" s="44" t="str">
        <x:v>Spatial geometry;Physical reconfiguration;Manipulation</x:v>
      </x:c>
      <x:c r="S29" s="44" t="str">
        <x:v>已有候选YAML；完整物理执行未认证</x:v>
      </x:c>
      <x:c r="T29" s="44" t="str">
        <x:v>源scene ID已知；Robot适配另行认证</x:v>
      </x:c>
      <x:c r="U29" s="44" t="str">
        <x:v>https://github.com/XuanCheg/Show-Harness-Explore/blob/33bada4bb278471b7a925cd8ddfa3d46a19f52fb/explore_to_achieve/tasks/Spatial%20Relations/Geometric%20Configuration/Beechwood_0_garden/garden_0/corev2__category_abfc72cb2d4b9fb983221f89.yaml</x:v>
      </x:c>
    </x:row>
    <x:row r="30" ht="50" customHeight="1">
      <x:c r="A30" s="44" t="str">
        <x:v>T28</x:v>
      </x:c>
      <x:c r="B30" s="58" t="str">
        <x:v>V1-核心候选</x:v>
      </x:c>
      <x:c r="C30" s="44" t="str">
        <x:v>P1</x:v>
      </x:c>
      <x:c r="D30" s="44" t="str">
        <x:v>Spatial Reasoning-to-Action</x:v>
      </x:c>
      <x:c r="E30" s="44" t="str">
        <x:v>Planar geometric arrangement</x:v>
      </x:c>
      <x:c r="F30" s="44" t="str">
        <x:v>Spatial Relations</x:v>
      </x:c>
      <x:c r="G30" s="44" t="str">
        <x:v>Geometric Configuration</x:v>
      </x:c>
      <x:c r="H30" s="44" t="str">
        <x:v>Beechwood_0_garden</x:v>
      </x:c>
      <x:c r="I30" s="44" t="str">
        <x:v>kitchen_0</x:v>
      </x:c>
      <x:c r="J30" s="44" t="str">
        <x:v>局部工作区／尺寸待测</x:v>
      </x:c>
      <x:c r="K30" s="46"/>
      <x:c r="L30" s="46"/>
      <x:c r="M30" s="48" t="n">
        <x:v>3</x:v>
      </x:c>
      <x:c r="N30" s="44" t="str">
        <x:v>3 个去重相关物体：jar_of_sugar、thyme_shaker、vinegar_bottle</x:v>
      </x:c>
      <x:c r="O30" s="44" t="str">
        <x:v>jar_of_sugar、thyme_shaker、vinegar_bottle 三点在拥挤厨房可能有可达面不连通问题；等腰若未区分等边或近共线，评价可能与其他三角形任务重合，此处是需核对的定义风险，不断言已有 bug。</x:v>
      </x:c>
      <x:c r="P30" s="44" t="str">
        <x:v>等腰目标必须排除退化近共线，并声明等边是否被视为等腰。</x:v>
      </x:c>
      <x:c r="Q30" s="44" t="str">
        <x:v>已知环境下的物理推理→行动</x:v>
      </x:c>
      <x:c r="R30" s="44" t="str">
        <x:v>Spatial geometry;Physical reconfiguration;Manipulation</x:v>
      </x:c>
      <x:c r="S30" s="44" t="str">
        <x:v>已有候选YAML；完整物理执行未认证</x:v>
      </x:c>
      <x:c r="T30" s="44" t="str">
        <x:v>源scene ID已知；Robot适配另行认证</x:v>
      </x:c>
      <x:c r="U30" s="44" t="str">
        <x:v>https://github.com/XuanCheg/Show-Harness-Explore/blob/33bada4bb278471b7a925cd8ddfa3d46a19f52fb/explore_to_achieve/tasks/Spatial%20Relations/Geometric%20Configuration/Beechwood_0_garden/kitchen_0/corev2__category_1bb95023d01fbe5c29601ab3.yaml</x:v>
      </x:c>
    </x:row>
    <x:row r="31" ht="50" customHeight="1">
      <x:c r="A31" s="44" t="str">
        <x:v>T29</x:v>
      </x:c>
      <x:c r="B31" s="54" t="str">
        <x:v>V1-修复后</x:v>
      </x:c>
      <x:c r="C31" s="44" t="str">
        <x:v>P1</x:v>
      </x:c>
      <x:c r="D31" s="44" t="str">
        <x:v>Spatial Reasoning-to-Action</x:v>
      </x:c>
      <x:c r="E31" s="44" t="str">
        <x:v>Planar geometric arrangement</x:v>
      </x:c>
      <x:c r="F31" s="44" t="str">
        <x:v>Spatial Relations</x:v>
      </x:c>
      <x:c r="G31" s="44" t="str">
        <x:v>Geometric Configuration</x:v>
      </x:c>
      <x:c r="H31" s="44" t="str">
        <x:v>Beechwood_0_int</x:v>
      </x:c>
      <x:c r="I31" s="44" t="str">
        <x:v>kitchen_0</x:v>
      </x:c>
      <x:c r="J31" s="44" t="str">
        <x:v>局部工作区／尺寸待测</x:v>
      </x:c>
      <x:c r="K31" s="46"/>
      <x:c r="L31" s="46"/>
      <x:c r="M31" s="48" t="n">
        <x:v>3</x:v>
      </x:c>
      <x:c r="N31" s="44" t="str">
        <x:v>3 个去重相关物体：salt_shaker、bottle_of_lemon_juice、erlenmeyer_flask</x:v>
      </x:c>
      <x:c r="O31" s="44" t="str">
        <x:v>salt_shaker、bottle_of_lemon_juice、erlenmeyer_flask 涉及宽底烧瓶与细颈抓取；靠墙台面可压缩三角形后侧顶点的手臂接近空间。仅知道物体数 3，尚无 current native 工作面净尺寸。</x:v>
      </x:c>
      <x:c r="P31" s="44" t="str">
        <x:v>烧瓶局部抓取+靠墙工作区要验证；等边与T26共享机制，作为跨楼层/场景变体。</x:v>
      </x:c>
      <x:c r="Q31" s="44" t="str">
        <x:v>已知环境下的物理推理→行动</x:v>
      </x:c>
      <x:c r="R31" s="44" t="str">
        <x:v>Spatial geometry;Physical reconfiguration;Manipulation</x:v>
      </x:c>
      <x:c r="S31" s="44" t="str">
        <x:v>已有候选YAML；完整物理执行未认证</x:v>
      </x:c>
      <x:c r="T31" s="44" t="str">
        <x:v>源scene ID已知；Robot适配另行认证</x:v>
      </x:c>
      <x:c r="U31" s="44" t="str">
        <x:v>https://github.com/XuanCheg/Show-Harness-Explore/blob/33bada4bb278471b7a925cd8ddfa3d46a19f52fb/explore_to_achieve/tasks/Spatial%20Relations/Geometric%20Configuration/Beechwood_0_int/kitchen_0/corev2__category_be95222ebb4493f9b61d87fd.yaml</x:v>
      </x:c>
    </x:row>
    <x:row r="32" ht="50" customHeight="1">
      <x:c r="A32" s="44" t="str">
        <x:v>T30</x:v>
      </x:c>
      <x:c r="B32" s="50" t="str">
        <x:v>V1-对照</x:v>
      </x:c>
      <x:c r="C32" s="44" t="str">
        <x:v>P1</x:v>
      </x:c>
      <x:c r="D32" s="44" t="str">
        <x:v>Spatial Reasoning-to-Action</x:v>
      </x:c>
      <x:c r="E32" s="44" t="str">
        <x:v>Collinear arrangement</x:v>
      </x:c>
      <x:c r="F32" s="44" t="str">
        <x:v>Spatial Relations</x:v>
      </x:c>
      <x:c r="G32" s="44" t="str">
        <x:v>Linear Alignment</x:v>
      </x:c>
      <x:c r="H32" s="44" t="str">
        <x:v>Beechwood_0_garden</x:v>
      </x:c>
      <x:c r="I32" s="44" t="str">
        <x:v>private_office_0</x:v>
      </x:c>
      <x:c r="J32" s="44" t="str">
        <x:v>局部工作区／尺寸待测</x:v>
      </x:c>
      <x:c r="K32" s="46"/>
      <x:c r="L32" s="46"/>
      <x:c r="M32" s="48" t="n">
        <x:v>3</x:v>
      </x:c>
      <x:c r="N32" s="44" t="str">
        <x:v>3 个去重相关物体：bottle_of_vodka、liquid_soap_bottle、pepper_grinder</x:v>
      </x:c>
      <x:c r="O32" s="44" t="str">
        <x:v>bottle_of_vodka、liquid_soap_bottle、pepper_grinder 共 3 件；合约允许 already-satisfied no-op，因此当前得分不能直接解释为操纵。过短的线段或几乎重合的中心可能使共线目标缺乏实际重排意义，需查验间距定义。</x:v>
      </x:c>
      <x:c r="P32" s="44" t="str">
        <x:v>已共线no-op必须单列控制；动作种子需保证最小线段长度和真实位移。</x:v>
      </x:c>
      <x:c r="Q32" s="44" t="str">
        <x:v>已知环境下的物理推理→行动</x:v>
      </x:c>
      <x:c r="R32" s="44" t="str">
        <x:v>Collinearity;Physical reconfiguration;Correct stopping</x:v>
      </x:c>
      <x:c r="S32" s="44" t="str">
        <x:v>已有候选YAML；完整物理执行未认证</x:v>
      </x:c>
      <x:c r="T32" s="44" t="str">
        <x:v>源scene ID已知；Robot适配另行认证</x:v>
      </x:c>
      <x:c r="U32" s="44" t="str">
        <x:v>https://github.com/XuanCheg/Show-Harness-Explore/blob/33bada4bb278471b7a925cd8ddfa3d46a19f52fb/explore_to_achieve/tasks/Spatial%20Relations/Linear%20Alignment/Beechwood_0_garden/private_office_0/corev2__category_309ff5d1a6ed664bd8726e4b.yaml</x:v>
      </x:c>
    </x:row>
    <x:row r="33" ht="50" customHeight="1">
      <x:c r="A33" s="44" t="str">
        <x:v>T31</x:v>
      </x:c>
      <x:c r="B33" s="52" t="str">
        <x:v>V2-储备</x:v>
      </x:c>
      <x:c r="C33" s="44" t="str">
        <x:v>P2</x:v>
      </x:c>
      <x:c r="D33" s="44" t="str">
        <x:v>Spatial Reasoning-to-Action</x:v>
      </x:c>
      <x:c r="E33" s="44" t="str">
        <x:v>Contact or separation regulation</x:v>
      </x:c>
      <x:c r="F33" s="44" t="str">
        <x:v>Spatial Relations</x:v>
      </x:c>
      <x:c r="G33" s="44" t="str">
        <x:v>Physical Contact</x:v>
      </x:c>
      <x:c r="H33" s="44" t="str">
        <x:v>house_double_floor_lower</x:v>
      </x:c>
      <x:c r="I33" s="44" t="str">
        <x:v>corridor_0</x:v>
      </x:c>
      <x:c r="J33" s="44" t="str">
        <x:v>局部工作区／尺寸待测</x:v>
      </x:c>
      <x:c r="K33" s="46"/>
      <x:c r="L33" s="46"/>
      <x:c r="M33" s="48" t="n">
        <x:v>1</x:v>
      </x:c>
      <x:c r="N33" s="44" t="str">
        <x:v>2 个去重相关物体：violin、backpack</x:v>
      </x:c>
      <x:c r="O33" s="44" t="str">
        <x:v>当前 aperture_screen 的 violin AABB 约 60.26×21.23×10.54 cm，最小维略超 10 cm 夹爪且本地握持未验证；这不排除琴颈抓取/推移。新增支撑桌约 1.069×0.698 m，会占用走廊；必须检查底盘回转、分离后落点和退手。</x:v>
      </x:c>
      <x:c r="P33" s="44" t="str">
        <x:v>约60cm小提琴+走廊新增桌局部净空极敏感，暂转困难物体操作。</x:v>
      </x:c>
      <x:c r="Q33" s="44" t="str">
        <x:v>已知环境下的物理推理→行动</x:v>
      </x:c>
      <x:c r="R33" s="44" t="str">
        <x:v>Contact relations;Spatial reconfiguration;Manipulation</x:v>
      </x:c>
      <x:c r="S33" s="44" t="str">
        <x:v>已有候选YAML；完整物理执行未认证</x:v>
      </x:c>
      <x:c r="T33" s="44" t="str">
        <x:v>源scene ID已知；Robot适配另行认证</x:v>
      </x:c>
      <x:c r="U33" s="44" t="str">
        <x:v>https://github.com/XuanCheg/Show-Harness-Explore/blob/33bada4bb278471b7a925cd8ddfa3d46a19f52fb/explore_to_achieve/tasks/Spatial%20Relations/Physical%20Contact/house_double_floor_lower/corridor_0/corev2__category_93025169f0b17c9183a2fdd9.yaml</x:v>
      </x:c>
    </x:row>
    <x:row r="34" ht="50" customHeight="1">
      <x:c r="A34" s="44" t="str">
        <x:v>T32</x:v>
      </x:c>
      <x:c r="B34" s="50" t="str">
        <x:v>V1-对照</x:v>
      </x:c>
      <x:c r="C34" s="44" t="str">
        <x:v>P1</x:v>
      </x:c>
      <x:c r="D34" s="44" t="str">
        <x:v>Spatial Reasoning-to-Action</x:v>
      </x:c>
      <x:c r="E34" s="44" t="str">
        <x:v>Contact or separation regulation</x:v>
      </x:c>
      <x:c r="F34" s="44" t="str">
        <x:v>Spatial Relations</x:v>
      </x:c>
      <x:c r="G34" s="44" t="str">
        <x:v>Physical Contact</x:v>
      </x:c>
      <x:c r="H34" s="44" t="str">
        <x:v>house_single_floor</x:v>
      </x:c>
      <x:c r="I34" s="44" t="str">
        <x:v>living_room_0</x:v>
      </x:c>
      <x:c r="J34" s="44" t="str">
        <x:v>局部工作区／尺寸待测</x:v>
      </x:c>
      <x:c r="K34" s="46"/>
      <x:c r="L34" s="46"/>
      <x:c r="M34" s="48" t="n">
        <x:v>1</x:v>
      </x:c>
      <x:c r="N34" s="44" t="str">
        <x:v>2 个去重相关物体：vase、trophy</x:v>
      </x:c>
      <x:c r="O34" s="44" t="str">
        <x:v>source AABB 沿 x 已相离约 13.28 cm，且目标为 separated，因此存在初态满足风险；当前沉降后的 native contact 未读，不能直接宣称 no-op。trophy 较高窄，旁边侧卧花瓶使抓取时误触锚成为主要难度。</x:v>
      </x:c>
      <x:c r="P34" s="44" t="str">
        <x:v>先检测初始已分离状态；将已满足任务作正确停止控制，不计重排成功。</x:v>
      </x:c>
      <x:c r="Q34" s="44" t="str">
        <x:v>已知环境下的物理推理→行动</x:v>
      </x:c>
      <x:c r="R34" s="44" t="str">
        <x:v>Contact relations;Spatial reconfiguration;Manipulation</x:v>
      </x:c>
      <x:c r="S34" s="44" t="str">
        <x:v>已有候选YAML；完整物理执行未认证</x:v>
      </x:c>
      <x:c r="T34" s="44" t="str">
        <x:v>源scene ID已知；Robot适配另行认证</x:v>
      </x:c>
      <x:c r="U34" s="44" t="str">
        <x:v>https://github.com/XuanCheg/Show-Harness-Explore/blob/33bada4bb278471b7a925cd8ddfa3d46a19f52fb/explore_to_achieve/tasks/Spatial%20Relations/Physical%20Contact/house_single_floor/living_room_0/corev2__category_3a319828abcb43542f397e84.yaml</x:v>
      </x:c>
    </x:row>
    <x:row r="35" ht="50" customHeight="1">
      <x:c r="A35" s="44" t="str">
        <x:v>T33</x:v>
      </x:c>
      <x:c r="B35" s="54" t="str">
        <x:v>V1-修复后</x:v>
      </x:c>
      <x:c r="C35" s="44" t="str">
        <x:v>P1</x:v>
      </x:c>
      <x:c r="D35" s="44" t="str">
        <x:v>Spatial Reasoning-to-Action</x:v>
      </x:c>
      <x:c r="E35" s="44" t="str">
        <x:v>Contact or separation regulation</x:v>
      </x:c>
      <x:c r="F35" s="44" t="str">
        <x:v>Spatial Relations</x:v>
      </x:c>
      <x:c r="G35" s="44" t="str">
        <x:v>Physical Contact</x:v>
      </x:c>
      <x:c r="H35" s="44" t="str">
        <x:v>house_single_floor</x:v>
      </x:c>
      <x:c r="I35" s="44" t="str">
        <x:v>corridor_0</x:v>
      </x:c>
      <x:c r="J35" s="44" t="str">
        <x:v>局部工作区／尺寸待测</x:v>
      </x:c>
      <x:c r="K35" s="46"/>
      <x:c r="L35" s="46"/>
      <x:c r="M35" s="48" t="n">
        <x:v>1</x:v>
      </x:c>
      <x:c r="N35" s="44" t="str">
        <x:v>2 个去重相关物体：shoulder_bag、textbook</x:v>
      </x:c>
      <x:c r="O35" s="44" t="str">
        <x:v>source textbook 约 28.8×38.6×5.0 cm，薄边可夹但平贴支撑时需要手指入口；shoulder_bag 与书 AABB 重叠不等于真实接触。走廊中新增工作面若存在会压缩退手和底盘通路。</x:v>
      </x:c>
      <x:c r="P35" s="44" t="str">
        <x:v>以原生contact而非AABB重合判 touching，验证厚书边与shoulder_bag锚不动。</x:v>
      </x:c>
      <x:c r="Q35" s="44" t="str">
        <x:v>已知环境下的物理推理→行动</x:v>
      </x:c>
      <x:c r="R35" s="44" t="str">
        <x:v>Contact relations;Spatial reconfiguration;Manipulation</x:v>
      </x:c>
      <x:c r="S35" s="44" t="str">
        <x:v>已有候选YAML；完整物理执行未认证</x:v>
      </x:c>
      <x:c r="T35" s="44" t="str">
        <x:v>源scene ID已知；Robot适配另行认证</x:v>
      </x:c>
      <x:c r="U35" s="44" t="str">
        <x:v>https://github.com/XuanCheg/Show-Harness-Explore/blob/33bada4bb278471b7a925cd8ddfa3d46a19f52fb/explore_to_achieve/tasks/Spatial%20Relations/Physical%20Contact/house_single_floor/corridor_0/corev2__category_53f113c7995ababbabdd5559.yaml</x:v>
      </x:c>
    </x:row>
    <x:row r="36" ht="50" customHeight="1">
      <x:c r="A36" s="44" t="str">
        <x:v>T34</x:v>
      </x:c>
      <x:c r="B36" s="52" t="str">
        <x:v>V2-储备</x:v>
      </x:c>
      <x:c r="C36" s="44" t="str">
        <x:v>P2</x:v>
      </x:c>
      <x:c r="D36" s="44" t="str">
        <x:v>Spatial Reasoning-to-Action</x:v>
      </x:c>
      <x:c r="E36" s="44" t="str">
        <x:v>Contact or separation regulation</x:v>
      </x:c>
      <x:c r="F36" s="44" t="str">
        <x:v>Spatial Relations</x:v>
      </x:c>
      <x:c r="G36" s="44" t="str">
        <x:v>Physical Contact</x:v>
      </x:c>
      <x:c r="H36" s="44" t="str">
        <x:v>office_cubicles_left</x:v>
      </x:c>
      <x:c r="I36" s="44" t="str">
        <x:v>corridor_0</x:v>
      </x:c>
      <x:c r="J36" s="44" t="str">
        <x:v>局部工作区／尺寸待测</x:v>
      </x:c>
      <x:c r="K36" s="46"/>
      <x:c r="L36" s="46"/>
      <x:c r="M36" s="48" t="n">
        <x:v>1</x:v>
      </x:c>
      <x:c r="N36" s="44" t="str">
        <x:v>2 个去重相关物体：backpack、shoe_box</x:v>
      </x:c>
      <x:c r="O36" s="44" t="str">
        <x:v>source backpack 约 49.5×41.0×47.8 cm，占据显著空间；shoe_box 约 28.3×22.1×8.6 cm。8.6 cm 薄边可能在 10 cm 夹爪范围内，但顶部横向整夹并不适用，需要侧向入口；走廊的净宽需实际测量。</x:v>
      </x:c>
      <x:c r="P36" s="44" t="str">
        <x:v>49.5cm背包压迫走廊与8.6cm鞋盒侧夹，待真实路径/扫掠验证。</x:v>
      </x:c>
      <x:c r="Q36" s="44" t="str">
        <x:v>已知环境下的物理推理→行动</x:v>
      </x:c>
      <x:c r="R36" s="44" t="str">
        <x:v>Contact relations;Spatial reconfiguration;Manipulation</x:v>
      </x:c>
      <x:c r="S36" s="44" t="str">
        <x:v>已有候选YAML；完整物理执行未认证</x:v>
      </x:c>
      <x:c r="T36" s="44" t="str">
        <x:v>源scene ID已知；Robot适配另行认证</x:v>
      </x:c>
      <x:c r="U36" s="44" t="str">
        <x:v>https://github.com/XuanCheg/Show-Harness-Explore/blob/33bada4bb278471b7a925cd8ddfa3d46a19f52fb/explore_to_achieve/tasks/Spatial%20Relations/Physical%20Contact/office_cubicles_left/corridor_0/corev2__category_95d214aac10eb07a73ba0a99.yaml</x:v>
      </x:c>
    </x:row>
    <x:row r="37" ht="50" customHeight="1">
      <x:c r="A37" s="44" t="str">
        <x:v>T35</x:v>
      </x:c>
      <x:c r="B37" s="58" t="str">
        <x:v>V1-核心候选</x:v>
      </x:c>
      <x:c r="C37" s="44" t="str">
        <x:v>P1</x:v>
      </x:c>
      <x:c r="D37" s="44" t="str">
        <x:v>Goal Grounding &amp; Active Perception</x:v>
      </x:c>
      <x:c r="E37" s="44" t="str">
        <x:v>Search and set collection</x:v>
      </x:c>
      <x:c r="F37" s="44" t="str">
        <x:v>Enumerative Perception</x:v>
      </x:c>
      <x:c r="G37" s="44" t="str">
        <x:v>Hidden Object Search</x:v>
      </x:c>
      <x:c r="H37" s="44" t="str">
        <x:v>house_single_floor</x:v>
      </x:c>
      <x:c r="I37" s="44" t="str">
        <x:v>living_room_0</x:v>
      </x:c>
      <x:c r="J37" s="44" t="str">
        <x:v>单房／中程</x:v>
      </x:c>
      <x:c r="K37" s="46"/>
      <x:c r="L37" s="46"/>
      <x:c r="M37" s="48" t="n">
        <x:v>3</x:v>
      </x:c>
      <x:c r="N37" s="44" t="str">
        <x:v>3 个目标 + 0 个显式相似干扰物 + 4 个语义货架 + 1 托盘</x:v>
      </x:c>
      <x:c r="O37" s="44" t="str">
        <x:v>3个汉堡、0个显式相似干扰物、4个货架（其中可有空架），右手托盘、左手收集。初始可见是允许的，不能把hidden字样当所有目标初始不可见的证据。</x:v>
      </x:c>
      <x:c r="P37" s="44" t="str">
        <x:v>3目标0相似干扰；单房收集基线，必须区分最初可见/探索发现。</x:v>
      </x:c>
      <x:c r="Q37" s="44" t="str">
        <x:v>探索与身份辨别→物体收集</x:v>
      </x:c>
      <x:c r="R37" s="44" t="str">
        <x:v>Object search;Identity grounding;Long-horizon manipulation</x:v>
      </x:c>
      <x:c r="S37" s="44" t="str">
        <x:v>已有候选YAML；完整物理执行未认证</x:v>
      </x:c>
      <x:c r="T37" s="44" t="str">
        <x:v>源scene ID已知；Robot适配另行认证</x:v>
      </x:c>
      <x:c r="U37" s="44" t="str">
        <x:v>https://github.com/XuanCheg/Show-Harness-Explore/blob/33bada4bb278471b7a925cd8ddfa3d46a19f52fb/explore_to_achieve/tasks/Enumerative%20Perception/Hidden%20Object%20Search/house_single_floor/single_room/corev2__category_f7f89193432473c2bb37aeb5.yaml</x:v>
      </x:c>
    </x:row>
    <x:row r="38" ht="50" customHeight="1">
      <x:c r="A38" s="44" t="str">
        <x:v>T36</x:v>
      </x:c>
      <x:c r="B38" s="58" t="str">
        <x:v>V1-核心候选</x:v>
      </x:c>
      <x:c r="C38" s="44" t="str">
        <x:v>P1</x:v>
      </x:c>
      <x:c r="D38" s="44" t="str">
        <x:v>Goal Grounding &amp; Active Perception</x:v>
      </x:c>
      <x:c r="E38" s="44" t="str">
        <x:v>Search and set collection</x:v>
      </x:c>
      <x:c r="F38" s="44" t="str">
        <x:v>Enumerative Perception</x:v>
      </x:c>
      <x:c r="G38" s="44" t="str">
        <x:v>Hidden Object Search</x:v>
      </x:c>
      <x:c r="H38" s="44" t="str">
        <x:v>house_single_floor</x:v>
      </x:c>
      <x:c r="I38" s="44" t="str">
        <x:v>living_room_0/kitchen_0/dining_room_0</x:v>
      </x:c>
      <x:c r="J38" s="44" t="str">
        <x:v>多区域／中程</x:v>
      </x:c>
      <x:c r="K38" s="46"/>
      <x:c r="L38" s="46"/>
      <x:c r="M38" s="48" t="n">
        <x:v>4</x:v>
      </x:c>
      <x:c r="N38" s="44" t="str">
        <x:v>4 个目标 + 0 个显式相似干扰物 + 4 个语义货架 + 1 托盘</x:v>
      </x:c>
      <x:c r="O38" s="44" t="str">
        <x:v>4个汉堡、0个显式相似干扰物、4个货架、3个loaded_rooms；前三目标位置与单房任务相同。负担增长来自跨房路程、额外抓取和持盘运输，应分别计量。</x:v>
      </x:c>
      <x:c r="P38" s="44" t="str">
        <x:v>3房4目标，对照T35增加路线和一次抓取；同建筑不得跨train/test划分。</x:v>
      </x:c>
      <x:c r="Q38" s="44" t="str">
        <x:v>探索与身份辨别→物体收集</x:v>
      </x:c>
      <x:c r="R38" s="44" t="str">
        <x:v>Object search;Identity grounding;Long-horizon manipulation</x:v>
      </x:c>
      <x:c r="S38" s="44" t="str">
        <x:v>已有候选YAML；完整物理执行未认证</x:v>
      </x:c>
      <x:c r="T38" s="44" t="str">
        <x:v>源scene ID已知；Robot适配另行认证</x:v>
      </x:c>
      <x:c r="U38" s="44" t="str">
        <x:v>https://github.com/XuanCheg/Show-Harness-Explore/blob/33bada4bb278471b7a925cd8ddfa3d46a19f52fb/explore_to_achieve/tasks/Enumerative%20Perception/Hidden%20Object%20Search/house_single_floor/multi_room/corev2__category_ff560c315a0a0407f6148a1b.yaml</x:v>
      </x:c>
    </x:row>
    <x:row r="39" ht="50" customHeight="1">
      <x:c r="A39" s="44" t="str">
        <x:v>T37</x:v>
      </x:c>
      <x:c r="B39" s="58" t="str">
        <x:v>V1-核心候选</x:v>
      </x:c>
      <x:c r="C39" s="44" t="str">
        <x:v>P1</x:v>
      </x:c>
      <x:c r="D39" s="44" t="str">
        <x:v>Goal Grounding &amp; Active Perception</x:v>
      </x:c>
      <x:c r="E39" s="44" t="str">
        <x:v>Search and set collection</x:v>
      </x:c>
      <x:c r="F39" s="44" t="str">
        <x:v>Enumerative Perception</x:v>
      </x:c>
      <x:c r="G39" s="44" t="str">
        <x:v>Hidden Object Search</x:v>
      </x:c>
      <x:c r="H39" s="44" t="str">
        <x:v>Beechwood_0_int</x:v>
      </x:c>
      <x:c r="I39" s="44" t="str">
        <x:v>living_room_1</x:v>
      </x:c>
      <x:c r="J39" s="44" t="str">
        <x:v>单房／中程</x:v>
      </x:c>
      <x:c r="K39" s="46"/>
      <x:c r="L39" s="46"/>
      <x:c r="M39" s="48" t="n">
        <x:v>5</x:v>
      </x:c>
      <x:c r="N39" s="44" t="str">
        <x:v>5 个目标 + 2 个显式相似干扰物 + 3 个语义货架 + 1 托盘</x:v>
      </x:c>
      <x:c r="O39" s="44" t="str">
        <x:v>5个汉堡目标+2个食物干扰物（bun/sandwich）、3个货架；相似身份与去重是信息难点，同时5次夹取的累积失败会显著影响整项成功。托盘控制负担应单列。</x:v>
      </x:c>
      <x:c r="P39" s="44" t="str">
        <x:v>5目标2显式干扰，考身份筛选与持盘收集，需有双臂参考轨迹。</x:v>
      </x:c>
      <x:c r="Q39" s="44" t="str">
        <x:v>探索与身份辨别→物体收集</x:v>
      </x:c>
      <x:c r="R39" s="44" t="str">
        <x:v>Object search;Identity grounding;Long-horizon manipulation</x:v>
      </x:c>
      <x:c r="S39" s="44" t="str">
        <x:v>已有候选YAML；完整物理执行未认证</x:v>
      </x:c>
      <x:c r="T39" s="44" t="str">
        <x:v>源scene ID已知；Robot适配另行认证</x:v>
      </x:c>
      <x:c r="U39" s="44" t="str">
        <x:v>https://github.com/XuanCheg/Show-Harness-Explore/blob/33bada4bb278471b7a925cd8ddfa3d46a19f52fb/explore_to_achieve/tasks/Enumerative%20Perception/Hidden%20Object%20Search/Beechwood_0_int/similar_repeated_views/corev2__category_d1156faa040aacc20c70b3ce.yaml</x:v>
      </x:c>
    </x:row>
    <x:row r="40" ht="50" customHeight="1">
      <x:c r="A40" s="44" t="str">
        <x:v>T38</x:v>
      </x:c>
      <x:c r="B40" s="58" t="str">
        <x:v>V1-核心候选</x:v>
      </x:c>
      <x:c r="C40" s="44" t="str">
        <x:v>P1</x:v>
      </x:c>
      <x:c r="D40" s="44" t="str">
        <x:v>Temporal Memory &amp; World-State Revision</x:v>
      </x:c>
      <x:c r="E40" s="44" t="str">
        <x:v>Self-generated episodic-history retrieval</x:v>
      </x:c>
      <x:c r="F40" s="44" t="str">
        <x:v>Temporal Understanding</x:v>
      </x:c>
      <x:c r="G40" s="44" t="str">
        <x:v>Agent Observation</x:v>
      </x:c>
      <x:c r="H40" s="44" t="str">
        <x:v>house_single_floor</x:v>
      </x:c>
      <x:c r="I40" s="44" t="str">
        <x:v>living_room_0</x:v>
      </x:c>
      <x:c r="J40" s="44" t="str">
        <x:v>单房／中程</x:v>
      </x:c>
      <x:c r="K40" s="46"/>
      <x:c r="L40" s="46"/>
      <x:c r="M40" s="48" t="n">
        <x:v>1</x:v>
      </x:c>
      <x:c r="N40" s="44" t="str">
        <x:v>3 个历史物体 + 3 个货架 + 1 送达托盘；最终取回 1 个目标</x:v>
      </x:c>
      <x:c r="O40" s="44" t="str">
        <x:v>3个食物、3个货架、1个送达托盘；在实际第一次发现历史形成后问before_reference_encounter，followup_seed=7。144 pixels、12px extent、2m阈值记录视觉接触，不能当语义识别正确。</x:v>
      </x:c>
      <x:c r="P40" s="44" t="str">
        <x:v>首次遇见前历史取回，配对初始信息相似但先前路径不同的试验。</x:v>
      </x:c>
      <x:c r="Q40" s="44" t="str">
        <x:v>记忆／状态变化→条件行动</x:v>
      </x:c>
      <x:c r="R40" s="44" t="str">
        <x:v>Episodic order memory;Retrieval;Goal grounding</x:v>
      </x:c>
      <x:c r="S40" s="44" t="str">
        <x:v>已有候选YAML；完整物理执行未认证</x:v>
      </x:c>
      <x:c r="T40" s="44" t="str">
        <x:v>源scene ID已知；Robot适配另行认证</x:v>
      </x:c>
      <x:c r="U40" s="44" t="str">
        <x:v>https://github.com/XuanCheg/Show-Harness-Explore/blob/33bada4bb278471b7a925cd8ddfa3d46a19f52fb/explore_to_achieve/tasks/Temporal%20Understanding/Agent%20Observation/house_single_floor/redesign_20261020/category_cdb38ede71f9e832885a7654.yaml</x:v>
      </x:c>
    </x:row>
    <x:row r="41" ht="50" customHeight="1">
      <x:c r="A41" s="44" t="str">
        <x:v>T39</x:v>
      </x:c>
      <x:c r="B41" s="58" t="str">
        <x:v>V1-核心候选</x:v>
      </x:c>
      <x:c r="C41" s="44" t="str">
        <x:v>P1</x:v>
      </x:c>
      <x:c r="D41" s="44" t="str">
        <x:v>Temporal Memory &amp; World-State Revision</x:v>
      </x:c>
      <x:c r="E41" s="44" t="str">
        <x:v>Self-generated episodic-history retrieval</x:v>
      </x:c>
      <x:c r="F41" s="44" t="str">
        <x:v>Temporal Understanding</x:v>
      </x:c>
      <x:c r="G41" s="44" t="str">
        <x:v>Agent Observation</x:v>
      </x:c>
      <x:c r="H41" s="44" t="str">
        <x:v>Beechwood_0_int</x:v>
      </x:c>
      <x:c r="I41" s="44" t="str">
        <x:v>living_room_1</x:v>
      </x:c>
      <x:c r="J41" s="44" t="str">
        <x:v>单房／中程</x:v>
      </x:c>
      <x:c r="K41" s="46"/>
      <x:c r="L41" s="46"/>
      <x:c r="M41" s="48" t="n">
        <x:v>1</x:v>
      </x:c>
      <x:c r="N41" s="44" t="str">
        <x:v>3 个历史物体 + 3 个货架 + 1 送达托盘；最终取回 1 个目标</x:v>
      </x:c>
      <x:c r="O41" s="44" t="str">
        <x:v>同样3个食物、3架、1托盘；after_reference_encounter。与Beechwood搜索任务共享空间/货架布局，应归同scene/template family。3个历史事件能支持短时顺序记忆，不能直接宣称长时记忆覆盖。</x:v>
      </x:c>
      <x:c r="P41" s="44" t="str">
        <x:v>首次遇见后历史取回，与T38验证时间方向；同货架/建筑为同family。</x:v>
      </x:c>
      <x:c r="Q41" s="44" t="str">
        <x:v>记忆／状态变化→条件行动</x:v>
      </x:c>
      <x:c r="R41" s="44" t="str">
        <x:v>Episodic order memory;Retrieval;Goal grounding</x:v>
      </x:c>
      <x:c r="S41" s="44" t="str">
        <x:v>已有候选YAML；完整物理执行未认证</x:v>
      </x:c>
      <x:c r="T41" s="44" t="str">
        <x:v>源scene ID已知；Robot适配另行认证</x:v>
      </x:c>
      <x:c r="U41" s="44" t="str">
        <x:v>https://github.com/XuanCheg/Show-Harness-Explore/blob/33bada4bb278471b7a925cd8ddfa3d46a19f52fb/explore_to_achieve/tasks/Temporal%20Understanding/Agent%20Observation/Beechwood_0_int/redesign_20261020/category_ebb26cc29316e397864246bd.yaml</x:v>
      </x:c>
    </x:row>
    <x:row r="42" ht="50" customHeight="1">
      <x:c r="A42" s="44" t="str">
        <x:v>T40</x:v>
      </x:c>
      <x:c r="B42" s="54" t="str">
        <x:v>V1-修复后</x:v>
      </x:c>
      <x:c r="C42" s="56" t="str">
        <x:v>P0</x:v>
      </x:c>
      <x:c r="D42" s="44" t="str">
        <x:v>Temporal Memory &amp; World-State Revision</x:v>
      </x:c>
      <x:c r="E42" s="44" t="str">
        <x:v>Unobserved change response: removed</x:v>
      </x:c>
      <x:c r="F42" s="44" t="str">
        <x:v>Temporal Understanding</x:v>
      </x:c>
      <x:c r="G42" s="44" t="str">
        <x:v>Unobserved Change</x:v>
      </x:c>
      <x:c r="H42" s="44" t="str">
        <x:v>house_single_floor</x:v>
      </x:c>
      <x:c r="I42" s="44" t="str">
        <x:v>dining_room_0</x:v>
      </x:c>
      <x:c r="J42" s="44" t="str">
        <x:v>局部工作区／尺寸待测</x:v>
      </x:c>
      <x:c r="K42" s="46"/>
      <x:c r="L42" s="46"/>
      <x:c r="M42" s="48"/>
      <x:c r="N42" s="44" t="str">
        <x:v>3 比较盒；Phase1 2 件、Phase2 1 件内容物；4 备用物；送达装置另计</x:v>
      </x:c>
      <x:c r="O42" s="44" t="str">
        <x:v>Phase1为左shaker、中cumin、右空；Phase2移除shaker；3比较盒、4公开备用物始终相同；需拿正确备用品补回原位置。先验初始状态固定会弱化memory necessity，未来应做初始状态置换。</x:v>
      </x:c>
      <x:c r="P42" s="44" t="str">
        <x:v>removed：置换初始盒位/内容/备用，让同样Phase2不能靠固定答案完成。</x:v>
      </x:c>
      <x:c r="Q42" s="44" t="str">
        <x:v>记忆／状态变化→条件行动</x:v>
      </x:c>
      <x:c r="R42" s="44" t="str">
        <x:v>Temporal memory;Belief update;Conditional action</x:v>
      </x:c>
      <x:c r="S42" s="44" t="str">
        <x:v>已有候选YAML；完整物理执行未认证</x:v>
      </x:c>
      <x:c r="T42" s="44" t="str">
        <x:v>源scene ID已知；Robot适配另行认证</x:v>
      </x:c>
      <x:c r="U42" s="44" t="str">
        <x:v>https://github.com/XuanCheg/Show-Harness-Explore/blob/33bada4bb278471b7a925cd8ddfa3d46a19f52fb/explore_to_achieve/tasks/Temporal%20Understanding/Unobserved%20Change/house_single_floor/redesign_20261020/category_006a82c80075ae1fb18c5bc6.yaml</x:v>
      </x:c>
    </x:row>
    <x:row r="43" ht="50" customHeight="1">
      <x:c r="A43" s="44" t="str">
        <x:v>T41</x:v>
      </x:c>
      <x:c r="B43" s="50" t="str">
        <x:v>V1-对照</x:v>
      </x:c>
      <x:c r="C43" s="44" t="str">
        <x:v>P1</x:v>
      </x:c>
      <x:c r="D43" s="44" t="str">
        <x:v>Temporal Memory &amp; World-State Revision</x:v>
      </x:c>
      <x:c r="E43" s="44" t="str">
        <x:v>Unobserved change response: no_change</x:v>
      </x:c>
      <x:c r="F43" s="44" t="str">
        <x:v>Temporal Understanding</x:v>
      </x:c>
      <x:c r="G43" s="44" t="str">
        <x:v>Unobserved Change</x:v>
      </x:c>
      <x:c r="H43" s="44" t="str">
        <x:v>house_single_floor</x:v>
      </x:c>
      <x:c r="I43" s="44" t="str">
        <x:v>dining_room_0</x:v>
      </x:c>
      <x:c r="J43" s="44" t="str">
        <x:v>局部工作区／尺寸待测</x:v>
      </x:c>
      <x:c r="K43" s="46"/>
      <x:c r="L43" s="46"/>
      <x:c r="M43" s="48"/>
      <x:c r="N43" s="44" t="str">
        <x:v>3 比较盒；Phase1 2 件、Phase2 2 件内容物；4 备用物；送达装置另计</x:v>
      </x:c>
      <x:c r="O43" s="44" t="str">
        <x:v>Phase1/2均为左shaker、中cumin、右空；需有信息地检查并保持不变。是检验是否知道何时不动的合法分支；不应为了全部manipulation而额外强制移动。</x:v>
      </x:c>
      <x:c r="P43" s="44" t="str">
        <x:v>no_change：真实观察后停止即成功，不强迫做无意义动作；与有变化配对。</x:v>
      </x:c>
      <x:c r="Q43" s="44" t="str">
        <x:v>记忆／状态变化→条件行动</x:v>
      </x:c>
      <x:c r="R43" s="44" t="str">
        <x:v>Temporal memory;Belief update;Conditional action</x:v>
      </x:c>
      <x:c r="S43" s="44" t="str">
        <x:v>已有候选YAML；完整物理执行未认证</x:v>
      </x:c>
      <x:c r="T43" s="44" t="str">
        <x:v>源scene ID已知；Robot适配另行认证</x:v>
      </x:c>
      <x:c r="U43" s="44" t="str">
        <x:v>https://github.com/XuanCheg/Show-Harness-Explore/blob/33bada4bb278471b7a925cd8ddfa3d46a19f52fb/explore_to_achieve/tasks/Temporal%20Understanding/Unobserved%20Change/house_single_floor/redesign_20261020/category_bd0c096bec07a9036cd4bb66.yaml</x:v>
      </x:c>
    </x:row>
    <x:row r="44" ht="50" customHeight="1">
      <x:c r="A44" s="44" t="str">
        <x:v>T42</x:v>
      </x:c>
      <x:c r="B44" s="54" t="str">
        <x:v>V1-修复后</x:v>
      </x:c>
      <x:c r="C44" s="56" t="str">
        <x:v>P0</x:v>
      </x:c>
      <x:c r="D44" s="44" t="str">
        <x:v>Physical Planning &amp; Experimentation</x:v>
      </x:c>
      <x:c r="E44" s="44" t="str">
        <x:v>Controlled dynamics comparison and application</x:v>
      </x:c>
      <x:c r="F44" s="44" t="str">
        <x:v>Physical Dynamics</x:v>
      </x:c>
      <x:c r="G44" s="44" t="str">
        <x:v>Inclined Plane</x:v>
      </x:c>
      <x:c r="H44" s="44" t="str">
        <x:v>house_single_floor</x:v>
      </x:c>
      <x:c r="I44" s="44" t="str">
        <x:v>living_room_0</x:v>
      </x:c>
      <x:c r="J44" s="44" t="str">
        <x:v>局部工作区／尺寸待测</x:v>
      </x:c>
      <x:c r="K44" s="46"/>
      <x:c r="L44" s="46"/>
      <x:c r="M44" s="48" t="n">
        <x:v>3</x:v>
      </x:c>
      <x:c r="N44" s="44" t="str">
        <x:v>3 类候选 × trial/spare = 6 个可移动物体；18 个装置 binding 不等于 18 个独立物品</x:v>
      </x:c>
      <x:c r="O44" s="44" t="str">
        <x:v>3类候选×trial/spare共6件，在同一局部ramp apparatus；历史被动探测仅ball到达(0.800s)，不是本次实验或robot rollout。</x:v>
      </x:c>
      <x:c r="P44" s="44" t="str">
        <x:v>三种候选需让不同物理参数下赢家变化；原ball总赢家会使试验变形式要求。</x:v>
      </x:c>
      <x:c r="Q44" s="44" t="str">
        <x:v>物理实验→证据利用</x:v>
      </x:c>
      <x:c r="R44" s="44" t="str">
        <x:v>Physical experimentation;Causal reasoning;Dynamics</x:v>
      </x:c>
      <x:c r="S44" s="44" t="str">
        <x:v>已有候选YAML；完整物理执行未认证</x:v>
      </x:c>
      <x:c r="T44" s="44" t="str">
        <x:v>源scene ID已知；Robot适配另行认证</x:v>
      </x:c>
      <x:c r="U44" s="44" t="str">
        <x:v>https://github.com/XuanCheg/Show-Harness-Explore/blob/33bada4bb278471b7a925cd8ddfa3d46a19f52fb/explore_to_achieve/tasks/Physical%20Dynamics/Inclined%20Plane/house_single_floor/redesign_20261020/category_88ce9d62d891ae0ba628a6e9.yaml</x:v>
      </x:c>
    </x:row>
    <x:row r="45" ht="50" customHeight="1">
      <x:c r="A45" s="44" t="str">
        <x:v>T43</x:v>
      </x:c>
      <x:c r="B45" s="54" t="str">
        <x:v>V1-修复后</x:v>
      </x:c>
      <x:c r="C45" s="56" t="str">
        <x:v>P0</x:v>
      </x:c>
      <x:c r="D45" s="44" t="str">
        <x:v>Physical Planning &amp; Experimentation</x:v>
      </x:c>
      <x:c r="E45" s="44" t="str">
        <x:v>Controlled dynamics comparison and application</x:v>
      </x:c>
      <x:c r="F45" s="44" t="str">
        <x:v>Physical Dynamics</x:v>
      </x:c>
      <x:c r="G45" s="44" t="str">
        <x:v>Inclined Plane</x:v>
      </x:c>
      <x:c r="H45" s="44" t="str">
        <x:v>house_single_floor</x:v>
      </x:c>
      <x:c r="I45" s="44" t="str">
        <x:v>living_room_0</x:v>
      </x:c>
      <x:c r="J45" s="44" t="str">
        <x:v>局部工作区／尺寸待测</x:v>
      </x:c>
      <x:c r="K45" s="46"/>
      <x:c r="L45" s="46"/>
      <x:c r="M45" s="48" t="n">
        <x:v>3</x:v>
      </x:c>
      <x:c r="N45" s="44" t="str">
        <x:v>3 类候选 × trial/spare = 6 个可移动物体；18 个装置 binding 不等于 18 个独立物品</x:v>
      </x:c>
      <x:c r="O45" s="44" t="str">
        <x:v>同一房间/6件候选，改变斜坡/摩擦条件；历史被动到达avocado=0.600s、ball=0.500s，0.15s并列容差使两者可接受。</x:v>
      </x:c>
      <x:c r="P45" s="44" t="str">
        <x:v>并列容差0.15s产生多个赢家；修订物理参数和明确赢家间隔再测。</x:v>
      </x:c>
      <x:c r="Q45" s="44" t="str">
        <x:v>物理实验→证据利用</x:v>
      </x:c>
      <x:c r="R45" s="44" t="str">
        <x:v>Physical experimentation;Causal reasoning;Dynamics</x:v>
      </x:c>
      <x:c r="S45" s="44" t="str">
        <x:v>已有候选YAML；完整物理执行未认证</x:v>
      </x:c>
      <x:c r="T45" s="44" t="str">
        <x:v>源scene ID已知；Robot适配另行认证</x:v>
      </x:c>
      <x:c r="U45" s="44" t="str">
        <x:v>https://github.com/XuanCheg/Show-Harness-Explore/blob/33bada4bb278471b7a925cd8ddfa3d46a19f52fb/explore_to_achieve/tasks/Physical%20Dynamics/Inclined%20Plane/house_single_floor/redesign_20261020/category_75bff6e58684ce3d067bfee5.yaml</x:v>
      </x:c>
    </x:row>
    <x:row r="46" ht="50" customHeight="1">
      <x:c r="A46" s="44" t="str">
        <x:v>T44</x:v>
      </x:c>
      <x:c r="B46" s="52" t="str">
        <x:v>合并/替换</x:v>
      </x:c>
      <x:c r="C46" s="44" t="str">
        <x:v>P1</x:v>
      </x:c>
      <x:c r="D46" s="44" t="str">
        <x:v>Physical Planning &amp; Experimentation</x:v>
      </x:c>
      <x:c r="E46" s="44" t="str">
        <x:v>Controlled dynamics comparison and application</x:v>
      </x:c>
      <x:c r="F46" s="44" t="str">
        <x:v>Physical Dynamics</x:v>
      </x:c>
      <x:c r="G46" s="44" t="str">
        <x:v>Inclined Plane</x:v>
      </x:c>
      <x:c r="H46" s="44" t="str">
        <x:v>house_single_floor</x:v>
      </x:c>
      <x:c r="I46" s="44" t="str">
        <x:v>living_room_0</x:v>
      </x:c>
      <x:c r="J46" s="44" t="str">
        <x:v>局部工作区／尺寸待测</x:v>
      </x:c>
      <x:c r="K46" s="46"/>
      <x:c r="L46" s="46"/>
      <x:c r="M46" s="48" t="n">
        <x:v>3</x:v>
      </x:c>
      <x:c r="N46" s="44" t="str">
        <x:v>3 类候选 × trial/spare = 6 个可移动物体；18 个装置 binding 不等于 18 个独立物品</x:v>
      </x:c>
      <x:c r="O46" s="44" t="str">
        <x:v>同一房间/6件候选；历史被动到达bowl=0.700s、avocado=0.600s、ball=0.467s，0.15s并列容差接受avocado/ball。三项ball均可正确选择，强制实验步骤并不证明利用实验结果。</x:v>
      </x:c>
      <x:c r="P46" s="44" t="str">
        <x:v>与T42/T43同一斜坡站且ball均可成功，先合并为机制家族的参数变体；若赢者独立翻转可重新计入。</x:v>
      </x:c>
      <x:c r="Q46" s="44" t="str">
        <x:v>物理实验→证据利用</x:v>
      </x:c>
      <x:c r="R46" s="44" t="str">
        <x:v>Physical experimentation;Causal reasoning;Dynamics</x:v>
      </x:c>
      <x:c r="S46" s="44" t="str">
        <x:v>已有候选YAML；完整物理执行未认证</x:v>
      </x:c>
      <x:c r="T46" s="44" t="str">
        <x:v>源scene ID已知；Robot适配另行认证</x:v>
      </x:c>
      <x:c r="U46" s="44" t="str">
        <x:v>https://github.com/XuanCheg/Show-Harness-Explore/blob/33bada4bb278471b7a925cd8ddfa3d46a19f52fb/explore_to_achieve/tasks/Physical%20Dynamics/Inclined%20Plane/house_single_floor/redesign_20261020/category_c8b7b9e832f5ee2958b6efe0.yaml</x:v>
      </x:c>
    </x:row>
    <x:row r="47" ht="50" customHeight="1">
      <x:c r="A47" s="44" t="str">
        <x:v>T45</x:v>
      </x:c>
      <x:c r="B47" s="54" t="str">
        <x:v>V1-修复后</x:v>
      </x:c>
      <x:c r="C47" s="44" t="str">
        <x:v>P1</x:v>
      </x:c>
      <x:c r="D47" s="44" t="str">
        <x:v>Temporal Memory &amp; World-State Revision</x:v>
      </x:c>
      <x:c r="E47" s="44" t="str">
        <x:v>Unobserved change response: added</x:v>
      </x:c>
      <x:c r="F47" s="44" t="str">
        <x:v>Temporal Understanding</x:v>
      </x:c>
      <x:c r="G47" s="44" t="str">
        <x:v>Unobserved Change</x:v>
      </x:c>
      <x:c r="H47" s="44" t="str">
        <x:v>house_single_floor</x:v>
      </x:c>
      <x:c r="I47" s="44" t="str">
        <x:v>dining_room_0</x:v>
      </x:c>
      <x:c r="J47" s="44" t="str">
        <x:v>局部工作区／尺寸待测</x:v>
      </x:c>
      <x:c r="K47" s="46"/>
      <x:c r="L47" s="46"/>
      <x:c r="M47" s="48"/>
      <x:c r="N47" s="44" t="str">
        <x:v>3 比较盒；Phase1 2 件、Phase2 3 件内容物；4 备用物；送达装置另计</x:v>
      </x:c>
      <x:c r="O47" s="44" t="str">
        <x:v>同3盒、4备用物、Phase1两件，Phase2三件；将新增物放到收集托盘。需避免固定右空槽让新增位置被先验猜测。</x:v>
      </x:c>
      <x:c r="P47" s="44" t="str">
        <x:v>added：置换初始空盒位置，防止位置捷径；有效观察后抓取新物。</x:v>
      </x:c>
      <x:c r="Q47" s="44" t="str">
        <x:v>记忆／状态变化→条件行动</x:v>
      </x:c>
      <x:c r="R47" s="44" t="str">
        <x:v>State change memory;Conditional action;Recovery</x:v>
      </x:c>
      <x:c r="S47" s="44" t="str">
        <x:v>已有候选YAML；完整物理执行未认证</x:v>
      </x:c>
      <x:c r="T47" s="44" t="str">
        <x:v>源scene ID已知；Robot适配另行认证</x:v>
      </x:c>
      <x:c r="U47" s="44" t="str">
        <x:v>https://github.com/XuanCheg/Show-Harness-Explore/blob/33bada4bb278471b7a925cd8ddfa3d46a19f52fb/explore_to_achieve/tasks/Temporal%20Understanding/Unobserved%20Change/house_single_floor/redesign_20261020/category_939a8fa9a40b1fc7e04a5db0.yaml</x:v>
      </x:c>
    </x:row>
    <x:row r="48" ht="50" customHeight="1">
      <x:c r="A48" s="44" t="str">
        <x:v>T46</x:v>
      </x:c>
      <x:c r="B48" s="54" t="str">
        <x:v>V1-修复后</x:v>
      </x:c>
      <x:c r="C48" s="44" t="str">
        <x:v>P1</x:v>
      </x:c>
      <x:c r="D48" s="44" t="str">
        <x:v>Temporal Memory &amp; World-State Revision</x:v>
      </x:c>
      <x:c r="E48" s="44" t="str">
        <x:v>Unobserved change response: moved</x:v>
      </x:c>
      <x:c r="F48" s="44" t="str">
        <x:v>Temporal Understanding</x:v>
      </x:c>
      <x:c r="G48" s="44" t="str">
        <x:v>Unobserved Change</x:v>
      </x:c>
      <x:c r="H48" s="44" t="str">
        <x:v>house_single_floor</x:v>
      </x:c>
      <x:c r="I48" s="44" t="str">
        <x:v>dining_room_0</x:v>
      </x:c>
      <x:c r="J48" s="44" t="str">
        <x:v>局部工作区／尺寸待测</x:v>
      </x:c>
      <x:c r="K48" s="46"/>
      <x:c r="L48" s="46"/>
      <x:c r="M48" s="48"/>
      <x:c r="N48" s="44" t="str">
        <x:v>3 比较盒；Phase1 2 件、Phase2 2 件内容物；4 备用物；送达装置另计</x:v>
      </x:c>
      <x:c r="O48" s="44" t="str">
        <x:v>Phase1两件、Phase2两件；shaker从左移到右，操作应返回左盒。比单纯yes/no更能测位置记忆；需置换初始分配以避免固定答案。</x:v>
      </x:c>
      <x:c r="P48" s="44" t="str">
        <x:v>moved：需基于历史返回原盒；随机化原位置并保持配对Phase2外观。</x:v>
      </x:c>
      <x:c r="Q48" s="44" t="str">
        <x:v>记忆／状态变化→条件行动</x:v>
      </x:c>
      <x:c r="R48" s="44" t="str">
        <x:v>State change memory;Conditional action;Recovery</x:v>
      </x:c>
      <x:c r="S48" s="44" t="str">
        <x:v>已有候选YAML；完整物理执行未认证</x:v>
      </x:c>
      <x:c r="T48" s="44" t="str">
        <x:v>源scene ID已知；Robot适配另行认证</x:v>
      </x:c>
      <x:c r="U48" s="44" t="str">
        <x:v>https://github.com/XuanCheg/Show-Harness-Explore/blob/33bada4bb278471b7a925cd8ddfa3d46a19f52fb/explore_to_achieve/tasks/Temporal%20Understanding/Unobserved%20Change/house_single_floor/redesign_20261020/category_0498b76051279b8acd7e914e.yaml</x:v>
      </x:c>
    </x:row>
    <x:row r="49" ht="50" customHeight="1">
      <x:c r="A49" s="44" t="str">
        <x:v>T47</x:v>
      </x:c>
      <x:c r="B49" s="54" t="str">
        <x:v>V1-修复后</x:v>
      </x:c>
      <x:c r="C49" s="44" t="str">
        <x:v>P1</x:v>
      </x:c>
      <x:c r="D49" s="44" t="str">
        <x:v>Temporal Memory &amp; World-State Revision</x:v>
      </x:c>
      <x:c r="E49" s="44" t="str">
        <x:v>Unobserved change response: replaced</x:v>
      </x:c>
      <x:c r="F49" s="44" t="str">
        <x:v>Temporal Understanding</x:v>
      </x:c>
      <x:c r="G49" s="44" t="str">
        <x:v>Unobserved Change</x:v>
      </x:c>
      <x:c r="H49" s="44" t="str">
        <x:v>house_single_floor</x:v>
      </x:c>
      <x:c r="I49" s="44" t="str">
        <x:v>dining_room_0</x:v>
      </x:c>
      <x:c r="J49" s="44" t="str">
        <x:v>局部工作区／尺寸待测</x:v>
      </x:c>
      <x:c r="K49" s="46"/>
      <x:c r="L49" s="46"/>
      <x:c r="M49" s="48"/>
      <x:c r="N49" s="44" t="str">
        <x:v>3 比较盒；Phase1 2 件、Phase2 2 件内容物；4 备用物；送达装置另计</x:v>
      </x:c>
      <x:c r="O49" s="44" t="str">
        <x:v>Phase1两件、Phase2两件；左盒内容替换，需收集当前replacement。需确认实际视图中替换物可辨且备用清单不会泄露事件。</x:v>
      </x:c>
      <x:c r="P49" s="44" t="str">
        <x:v>replaced：区别身份与位置变化，校验替换物实际可辨、清单不泄露。</x:v>
      </x:c>
      <x:c r="Q49" s="44" t="str">
        <x:v>记忆／状态变化→条件行动</x:v>
      </x:c>
      <x:c r="R49" s="44" t="str">
        <x:v>State change memory;Conditional action;Recovery</x:v>
      </x:c>
      <x:c r="S49" s="44" t="str">
        <x:v>已有候选YAML；完整物理执行未认证</x:v>
      </x:c>
      <x:c r="T49" s="44" t="str">
        <x:v>源scene ID已知；Robot适配另行认证</x:v>
      </x:c>
      <x:c r="U49" s="44" t="str">
        <x:v>https://github.com/XuanCheg/Show-Harness-Explore/blob/33bada4bb278471b7a925cd8ddfa3d46a19f52fb/explore_to_achieve/tasks/Temporal%20Understanding/Unobserved%20Change/house_single_floor/redesign_20261020/category_b892978c0400005618c6589c.yaml</x:v>
      </x:c>
    </x:row>
    <x:row r="50" ht="50" customHeight="1">
      <x:c r="A50" s="44" t="str">
        <x:v>T48</x:v>
      </x:c>
      <x:c r="B50" s="58" t="str">
        <x:v>V1-核心候选</x:v>
      </x:c>
      <x:c r="C50" s="44" t="str">
        <x:v>P1</x:v>
      </x:c>
      <x:c r="D50" s="44" t="str">
        <x:v>Temporal Memory &amp; World-State Revision</x:v>
      </x:c>
      <x:c r="E50" s="44" t="str">
        <x:v>Unobserved change response: multiple</x:v>
      </x:c>
      <x:c r="F50" s="44" t="str">
        <x:v>Temporal Understanding</x:v>
      </x:c>
      <x:c r="G50" s="44" t="str">
        <x:v>Unobserved Change</x:v>
      </x:c>
      <x:c r="H50" s="44" t="str">
        <x:v>house_single_floor</x:v>
      </x:c>
      <x:c r="I50" s="44" t="str">
        <x:v>dining_room_0</x:v>
      </x:c>
      <x:c r="J50" s="44" t="str">
        <x:v>局部工作区／尺寸待测</x:v>
      </x:c>
      <x:c r="K50" s="46"/>
      <x:c r="L50" s="46"/>
      <x:c r="M50" s="48"/>
      <x:c r="N50" s="44" t="str">
        <x:v>3 比较盒；Phase1 2 件、Phase2 2 件内容物；4 备用物；送达装置另计</x:v>
      </x:c>
      <x:c r="O50" s="44" t="str">
        <x:v>Phase1两件、Phase2两件；同时removed左盒+added右盒，需两项物理操作。不是新的空间场景，应标为同布局复合事件变体。</x:v>
      </x:c>
      <x:c r="P50" s="44" t="str">
        <x:v>复合变化按两项动作部分计分，必须区分与T40/T45的同scene变体。</x:v>
      </x:c>
      <x:c r="Q50" s="44" t="str">
        <x:v>记忆／状态变化→条件行动</x:v>
      </x:c>
      <x:c r="R50" s="44" t="str">
        <x:v>State change memory;Conditional action;Recovery</x:v>
      </x:c>
      <x:c r="S50" s="44" t="str">
        <x:v>已有候选YAML；完整物理执行未认证</x:v>
      </x:c>
      <x:c r="T50" s="44" t="str">
        <x:v>源scene ID已知；Robot适配另行认证</x:v>
      </x:c>
      <x:c r="U50" s="44" t="str">
        <x:v>https://github.com/XuanCheg/Show-Harness-Explore/blob/33bada4bb278471b7a925cd8ddfa3d46a19f52fb/explore_to_achieve/tasks/Temporal%20Understanding/Unobserved%20Change/house_single_floor/redesign_20261020/category_7fd79b0d5819ace319f077c7.yaml</x:v>
      </x:c>
    </x:row>
    <x:row r="51" ht="50" customHeight="1">
      <x:c r="A51" s="44" t="str">
        <x:v>T49</x:v>
      </x:c>
      <x:c r="B51" s="50" t="str">
        <x:v>V1-对照</x:v>
      </x:c>
      <x:c r="C51" s="44" t="str">
        <x:v>P1</x:v>
      </x:c>
      <x:c r="D51" s="44" t="str">
        <x:v>Goal Grounding &amp; Active Perception</x:v>
      </x:c>
      <x:c r="E51" s="44" t="str">
        <x:v>Reveal and retrieve through deformable occlusion</x:v>
      </x:c>
      <x:c r="F51" s="44" t="str">
        <x:v>Physical Structure</x:v>
      </x:c>
      <x:c r="G51" s="44" t="str">
        <x:v>Deformable</x:v>
      </x:c>
      <x:c r="H51" s="44" t="str">
        <x:v>hall_arch_wood</x:v>
      </x:c>
      <x:c r="I51" s="44" t="str">
        <x:v>empty_room_0</x:v>
      </x:c>
      <x:c r="J51" s="44" t="str">
        <x:v>局部工作区／尺寸待测</x:v>
      </x:c>
      <x:c r="K51" s="46"/>
      <x:c r="L51" s="46"/>
      <x:c r="M51" s="48" t="n">
        <x:v>1</x:v>
      </x:c>
      <x:c r="N51" s="44" t="str">
        <x:v>1 条真实浴巾 + 1 个遮盖物</x:v>
      </x:c>
      <x:c r="O51" s="44" t="str">
        <x:v>1真实浴巾+1番茄，1.0倍布；保留9视图/独立reset历史证据，但遮盖有效与真实手部揭布可行是两件事。单物体无需身份选择，信息推理负担较弱。</x:v>
      </x:c>
      <x:c r="P51" s="44" t="str">
        <x:v>同T50为简化的真实布料揭示基线；1番茄无需身份判别，不称独立认知机制。</x:v>
      </x:c>
      <x:c r="Q51" s="44" t="str">
        <x:v>主动物理揭示→目标行动</x:v>
      </x:c>
      <x:c r="R51" s="44" t="str">
        <x:v>Deformable handling;Active perception;Manipulation</x:v>
      </x:c>
      <x:c r="S51" s="44" t="str">
        <x:v>已有候选YAML；完整物理执行未认证</x:v>
      </x:c>
      <x:c r="T51" s="44" t="str">
        <x:v>源scene ID已知；Robot适配另行认证</x:v>
      </x:c>
      <x:c r="U51" s="44" t="str">
        <x:v>https://github.com/XuanCheg/Show-Harness-Explore/blob/33bada4bb278471b7a925cd8ddfa3d46a19f52fb/explore_to_achieve/tasks/Physical%20Structure/Deformable/hall_arch_wood/redesign_20261020/category_9fd3d70ee489c4228f5f44ec.yaml</x:v>
      </x:c>
    </x:row>
    <x:row r="52" ht="50" customHeight="1">
      <x:c r="A52" s="44" t="str">
        <x:v>T50</x:v>
      </x:c>
      <x:c r="B52" s="58" t="str">
        <x:v>V1-核心候选</x:v>
      </x:c>
      <x:c r="C52" s="56" t="str">
        <x:v>P0</x:v>
      </x:c>
      <x:c r="D52" s="44" t="str">
        <x:v>Goal Grounding &amp; Active Perception</x:v>
      </x:c>
      <x:c r="E52" s="44" t="str">
        <x:v>Reveal and retrieve through deformable occlusion</x:v>
      </x:c>
      <x:c r="F52" s="44" t="str">
        <x:v>Physical Structure</x:v>
      </x:c>
      <x:c r="G52" s="44" t="str">
        <x:v>Deformable</x:v>
      </x:c>
      <x:c r="H52" s="44" t="str">
        <x:v>hall_arch_wood</x:v>
      </x:c>
      <x:c r="I52" s="44" t="str">
        <x:v>empty_room_0</x:v>
      </x:c>
      <x:c r="J52" s="44" t="str">
        <x:v>局部工作区／尺寸待测</x:v>
      </x:c>
      <x:c r="K52" s="46"/>
      <x:c r="L52" s="46"/>
      <x:c r="M52" s="48" t="n">
        <x:v>1</x:v>
      </x:c>
      <x:c r="N52" s="44" t="str">
        <x:v>1 条真实浴巾 + 2 个遮盖物 + 1 送达托盘</x:v>
      </x:c>
      <x:c r="O52" s="44" t="str">
        <x:v>1真实浴巾+番茄目标+plain bun干扰物+送达托盘；与单番茄同源/同地点。真正把揭示信息接到身份选择，较适合主赛道。检查扫布是否可在不推移受保护物的情况下完成。</x:v>
      </x:c>
      <x:c r="P52" s="44" t="str">
        <x:v>首选布料+目标+干扰+托盘任务；验证扫布不破坏目标并真正辨认取回。</x:v>
      </x:c>
      <x:c r="Q52" s="44" t="str">
        <x:v>主动物理揭示→目标行动</x:v>
      </x:c>
      <x:c r="R52" s="44" t="str">
        <x:v>Deformable handling;Active perception;Manipulation</x:v>
      </x:c>
      <x:c r="S52" s="44" t="str">
        <x:v>已有候选YAML；完整物理执行未认证</x:v>
      </x:c>
      <x:c r="T52" s="44" t="str">
        <x:v>源scene ID已知；Robot适配另行认证</x:v>
      </x:c>
      <x:c r="U52" s="44" t="str">
        <x:v>https://github.com/XuanCheg/Show-Harness-Explore/blob/33bada4bb278471b7a925cd8ddfa3d46a19f52fb/explore_to_achieve/tasks/Physical%20Structure/Deformable/hall_arch_wood/redesign_20261020/category_fb64ed932434e097adc84053.yaml</x:v>
      </x:c>
    </x:row>
    <x:row r="53" ht="50" customHeight="1">
      <x:c r="A53" s="44" t="str">
        <x:v>T51</x:v>
      </x:c>
      <x:c r="B53" s="52" t="str">
        <x:v>V2-储备</x:v>
      </x:c>
      <x:c r="C53" s="44" t="str">
        <x:v>P2</x:v>
      </x:c>
      <x:c r="D53" s="44" t="str">
        <x:v>Goal Grounding &amp; Active Perception</x:v>
      </x:c>
      <x:c r="E53" s="44" t="str">
        <x:v>Reveal and retrieve through deformable occlusion</x:v>
      </x:c>
      <x:c r="F53" s="44" t="str">
        <x:v>Physical Structure</x:v>
      </x:c>
      <x:c r="G53" s="44" t="str">
        <x:v>Deformable</x:v>
      </x:c>
      <x:c r="H53" s="44" t="str">
        <x:v>hall_arch_wood</x:v>
      </x:c>
      <x:c r="I53" s="44" t="str">
        <x:v>bathroom_0</x:v>
      </x:c>
      <x:c r="J53" s="44" t="str">
        <x:v>局部工作区／尺寸待测</x:v>
      </x:c>
      <x:c r="K53" s="46"/>
      <x:c r="L53" s="46"/>
      <x:c r="M53" s="48" t="n">
        <x:v>1</x:v>
      </x:c>
      <x:c r="N53" s="44" t="str">
        <x:v>1 条真实浴巾 + 1 个遮盖物</x:v>
      </x:c>
      <x:c r="O53" s="44" t="str">
        <x:v>1真实浴巾+卫生巾盒，浴巾1.3倍、bathroom_0；仅房间名不能判狭小，需实际局部扫布空间/低位抓取/布边到墙距离。仍是单物体揭布取回，非独立信息推理机制。</x:v>
      </x:c>
      <x:c r="P53" s="44" t="str">
        <x:v>1.3倍浴巾与卫生间窄环境放到布料泛化压力组，不算新机制。</x:v>
      </x:c>
      <x:c r="Q53" s="44" t="str">
        <x:v>主动物理揭示→目标行动</x:v>
      </x:c>
      <x:c r="R53" s="44" t="str">
        <x:v>Deformable handling;Active perception;Manipulation</x:v>
      </x:c>
      <x:c r="S53" s="44" t="str">
        <x:v>已有候选YAML；完整物理执行未认证</x:v>
      </x:c>
      <x:c r="T53" s="44" t="str">
        <x:v>源scene ID已知；Robot适配另行认证</x:v>
      </x:c>
      <x:c r="U53" s="44" t="str">
        <x:v>https://github.com/XuanCheg/Show-Harness-Explore/blob/33bada4bb278471b7a925cd8ddfa3d46a19f52fb/explore_to_achieve/tasks/Physical%20Structure/Deformable/hall_arch_wood/redesign_20261020/category_e2b21727ae8a25c6b7b860d5.yaml</x:v>
      </x:c>
    </x:row>
    <x:row r="54" ht="50" customHeight="1">
      <x:c r="A54" s="44" t="str">
        <x:v>R-C1</x:v>
      </x:c>
      <x:c r="B54" s="54" t="str">
        <x:v>V1-修复后</x:v>
      </x:c>
      <x:c r="C54" s="56" t="str">
        <x:v>P0</x:v>
      </x:c>
      <x:c r="D54" s="44" t="str">
        <x:v>Goal Grounding &amp; Active Perception</x:v>
      </x:c>
      <x:c r="E54" s="44" t="str">
        <x:v>Mirror correspondence and retrieval</x:v>
      </x:c>
      <x:c r="F54" s="44" t="str">
        <x:v>Specular Reflection</x:v>
      </x:c>
      <x:c r="G54" s="44" t="str">
        <x:v>Correspondence</x:v>
      </x:c>
      <x:c r="H54" s="44" t="str">
        <x:v>Ihlen_0_int</x:v>
      </x:c>
      <x:c r="I54" s="44" t="str">
        <x:v>garage_0</x:v>
      </x:c>
      <x:c r="J54" s="44" t="str">
        <x:v>局部工作区／尺寸待测</x:v>
      </x:c>
      <x:c r="K54" s="46"/>
      <x:c r="L54" s="46"/>
      <x:c r="M54" s="48" t="n">
        <x:v>1</x:v>
      </x:c>
      <x:c r="N54" s="44" t="str">
        <x:v>3 个 tequila bottle 候选 + 1 镜面；送达区待实现</x:v>
      </x:c>
      <x:c r="O54" s="44" t="str">
        <x:v>源物体为 visual_only，低位放置。三同类物体必须有唯一镜像对应证据；不能把固定 left 答案或位置当身份。缩放机器人以对齐相机也会缩小夹爪和手臂。</x:v>
      </x:c>
      <x:c r="P54" s="44" t="str">
        <x:v>3同类tequila瓶+镜面，关键是原8路R1光学对应、相机位姿、真实可抓取。</x:v>
      </x:c>
      <x:c r="Q54" s="44" t="str">
        <x:v>镜像感知→目标物理落地</x:v>
      </x:c>
      <x:c r="R54" s="44" t="str">
        <x:v>Mirror geometry;Identity grounding;Manipulation</x:v>
      </x:c>
      <x:c r="S54" s="44" t="str">
        <x:v>设计中（无Task/Scene验收）</x:v>
      </x:c>
      <x:c r="T54" s="44" t="str">
        <x:v>源scene ID已知；Robot适配另行认证</x:v>
      </x:c>
      <x:c r="U54" s="44" t="str">
        <x:v>https://github.com/ESI-Bench/ESI-Bench/blob/9f6f15ed43e81654a97de9e4db2a1fedadca2bc1/dataset/json_clean/Specular%20Reflection/Correspondence/Ihlen_0_int/garage_0/q_000.json</x:v>
      </x:c>
    </x:row>
    <x:row r="55" ht="50" customHeight="1">
      <x:c r="A55" s="44" t="str">
        <x:v>R-C2</x:v>
      </x:c>
      <x:c r="B55" s="52" t="str">
        <x:v>V2-储备</x:v>
      </x:c>
      <x:c r="C55" s="44" t="str">
        <x:v>P2</x:v>
      </x:c>
      <x:c r="D55" s="44" t="str">
        <x:v>Goal Grounding &amp; Active Perception</x:v>
      </x:c>
      <x:c r="E55" s="44" t="str">
        <x:v>Mirror correspondence and retrieval</x:v>
      </x:c>
      <x:c r="F55" s="44" t="str">
        <x:v>Specular Reflection</x:v>
      </x:c>
      <x:c r="G55" s="44" t="str">
        <x:v>Correspondence</x:v>
      </x:c>
      <x:c r="H55" s="44" t="str">
        <x:v>hall_glass_ceiling</x:v>
      </x:c>
      <x:c r="I55" s="44" t="str">
        <x:v>empty_room_0</x:v>
      </x:c>
      <x:c r="J55" s="44" t="str">
        <x:v>局部工作区／尺寸待测</x:v>
      </x:c>
      <x:c r="K55" s="46"/>
      <x:c r="L55" s="46"/>
      <x:c r="M55" s="48" t="n">
        <x:v>1</x:v>
      </x:c>
      <x:c r="N55" s="44" t="str">
        <x:v>3 个 drip pot 候选 + 1 镜面；送达区待实现</x:v>
      </x:c>
      <x:c r="O55" s="44" t="str">
        <x:v>3 个对应题中候选跨度最大，源物体低位；初始相机光学匹配不证明底盘可通行或手可抓壶。窄位移约束可能与送达冲突。</x:v>
      </x:c>
      <x:c r="P55" s="44" t="str">
        <x:v>玻璃顶大厅跨度1.626m且壶低位，先排除光学误配/碰撞与路径困难。</x:v>
      </x:c>
      <x:c r="Q55" s="44" t="str">
        <x:v>镜像感知→目标物理落地</x:v>
      </x:c>
      <x:c r="R55" s="44" t="str">
        <x:v>Mirror geometry;Identity grounding;Manipulation</x:v>
      </x:c>
      <x:c r="S55" s="44" t="str">
        <x:v>设计中（无Task/Scene验收）</x:v>
      </x:c>
      <x:c r="T55" s="44" t="str">
        <x:v>源scene ID已知；Robot适配另行认证</x:v>
      </x:c>
      <x:c r="U55" s="44" t="str">
        <x:v>https://github.com/ESI-Bench/ESI-Bench/blob/9f6f15ed43e81654a97de9e4db2a1fedadca2bc1/dataset/json_clean/Specular%20Reflection/Correspondence/hall_glass_ceiling/empty_room_0/q_007.json</x:v>
      </x:c>
    </x:row>
    <x:row r="56" ht="50" customHeight="1">
      <x:c r="A56" s="44" t="str">
        <x:v>R-C3</x:v>
      </x:c>
      <x:c r="B56" s="54" t="str">
        <x:v>V1-修复后</x:v>
      </x:c>
      <x:c r="C56" s="44" t="str">
        <x:v>P1</x:v>
      </x:c>
      <x:c r="D56" s="44" t="str">
        <x:v>Goal Grounding &amp; Active Perception</x:v>
      </x:c>
      <x:c r="E56" s="44" t="str">
        <x:v>Mirror correspondence and retrieval</x:v>
      </x:c>
      <x:c r="F56" s="44" t="str">
        <x:v>Specular Reflection</x:v>
      </x:c>
      <x:c r="G56" s="44" t="str">
        <x:v>Correspondence</x:v>
      </x:c>
      <x:c r="H56" s="44" t="str">
        <x:v>Beechwood_0_garden</x:v>
      </x:c>
      <x:c r="I56" s="44" t="str">
        <x:v>living_room_0</x:v>
      </x:c>
      <x:c r="J56" s="44" t="str">
        <x:v>局部工作区／尺寸待测</x:v>
      </x:c>
      <x:c r="K56" s="46"/>
      <x:c r="L56" s="46"/>
      <x:c r="M56" s="48" t="n">
        <x:v>1</x:v>
      </x:c>
      <x:c r="N56" s="44" t="str">
        <x:v>3 个 pasta box 候选 + 1 镜面；送达区待实现</x:v>
      </x:c>
      <x:c r="O56" s="44" t="str">
        <x:v>盒体尺寸和低位抓取需要核查；固定朝向、位置或正面纹理可能替代镜像对应。源 visual_only 不能直接作为 manipulation 资产。</x:v>
      </x:c>
      <x:c r="P56" s="44" t="str">
        <x:v>3 pasta_box+镜面可作为形状对照，消除固定位置/纹理身份捷径。</x:v>
      </x:c>
      <x:c r="Q56" s="44" t="str">
        <x:v>镜像感知→目标物理落地</x:v>
      </x:c>
      <x:c r="R56" s="44" t="str">
        <x:v>Mirror geometry;Identity grounding;Manipulation</x:v>
      </x:c>
      <x:c r="S56" s="44" t="str">
        <x:v>设计中（无Task/Scene验收）</x:v>
      </x:c>
      <x:c r="T56" s="44" t="str">
        <x:v>源scene ID已知；Robot适配另行认证</x:v>
      </x:c>
      <x:c r="U56" s="44" t="str">
        <x:v>https://github.com/ESI-Bench/ESI-Bench/blob/9f6f15ed43e81654a97de9e4db2a1fedadca2bc1/dataset/json_clean/Specular%20Reflection/Correspondence/Beechwood_0_garden/living_room_0/q_003.json</x:v>
      </x:c>
    </x:row>
    <x:row r="57" ht="50" customHeight="1">
      <x:c r="A57" s="44" t="str">
        <x:v>R-S1</x:v>
      </x:c>
      <x:c r="B57" s="54" t="str">
        <x:v>V1-修复后</x:v>
      </x:c>
      <x:c r="C57" s="56" t="str">
        <x:v>P0</x:v>
      </x:c>
      <x:c r="D57" s="44" t="str">
        <x:v>Spatial Reasoning-to-Action</x:v>
      </x:c>
      <x:c r="E57" s="44" t="str">
        <x:v>Reflection-grounded distance-order reversal</x:v>
      </x:c>
      <x:c r="F57" s="44" t="str">
        <x:v>Specular Reflection</x:v>
      </x:c>
      <x:c r="G57" s="44" t="str">
        <x:v>Spatial Relations</x:v>
      </x:c>
      <x:c r="H57" s="44" t="str">
        <x:v>Merom_0_garden</x:v>
      </x:c>
      <x:c r="I57" s="44" t="str">
        <x:v>living_room_0</x:v>
      </x:c>
      <x:c r="J57" s="44" t="str">
        <x:v>局部工作区／尺寸待测</x:v>
      </x:c>
      <x:c r="K57" s="46"/>
      <x:c r="L57" s="46"/>
      <x:c r="M57" s="48" t="n">
        <x:v>2</x:v>
      </x:c>
      <x:c r="N57" s="44" t="str">
        <x:v>2 个物体：vodka bottle A、supplement bottle B + 1 镜面</x:v>
      </x:c>
      <x:c r="O57" s="44" t="str">
        <x:v>A 原本更近；移动后若用实时头部位置重定义近远，会让机器人行走改变题意。低位物体与近距离底盘空间需要核对。</x:v>
      </x:c>
      <x:c r="P57" s="44" t="str">
        <x:v>冻结初始参考点并对真实物体距离顺序反转，明确大于噪声的间距margin。</x:v>
      </x:c>
      <x:c r="Q57" s="44" t="str">
        <x:v>镜像推理→真实空间改造</x:v>
      </x:c>
      <x:c r="R57" s="44" t="str">
        <x:v>Mirror reasoning;Spatial reconfiguration;Manipulation</x:v>
      </x:c>
      <x:c r="S57" s="44" t="str">
        <x:v>设计中（无Task/Scene验收）</x:v>
      </x:c>
      <x:c r="T57" s="44" t="str">
        <x:v>源scene ID已知；Robot适配另行认证</x:v>
      </x:c>
      <x:c r="U57" s="44" t="str">
        <x:v>https://github.com/ESI-Bench/ESI-Bench/blob/9f6f15ed43e81654a97de9e4db2a1fedadca2bc1/dataset/json_clean/Specular%20Reflection/Spatial%20Relations/Merom_0_garden/living_room_0/q_003.json</x:v>
      </x:c>
    </x:row>
    <x:row r="58" ht="50" customHeight="1">
      <x:c r="A58" s="44" t="str">
        <x:v>R-S2</x:v>
      </x:c>
      <x:c r="B58" s="52" t="str">
        <x:v>V2-储备</x:v>
      </x:c>
      <x:c r="C58" s="44" t="str">
        <x:v>P2</x:v>
      </x:c>
      <x:c r="D58" s="44" t="str">
        <x:v>Spatial Reasoning-to-Action</x:v>
      </x:c>
      <x:c r="E58" s="44" t="str">
        <x:v>Reflection-grounded distance-order reversal</x:v>
      </x:c>
      <x:c r="F58" s="44" t="str">
        <x:v>Specular Reflection</x:v>
      </x:c>
      <x:c r="G58" s="44" t="str">
        <x:v>Spatial Relations</x:v>
      </x:c>
      <x:c r="H58" s="44" t="str">
        <x:v>Wainscott_0_garden</x:v>
      </x:c>
      <x:c r="I58" s="44" t="str">
        <x:v>living_room_2</x:v>
      </x:c>
      <x:c r="J58" s="44" t="str">
        <x:v>局部工作区／尺寸待测</x:v>
      </x:c>
      <x:c r="K58" s="46"/>
      <x:c r="L58" s="46"/>
      <x:c r="M58" s="48" t="n">
        <x:v>2</x:v>
      </x:c>
      <x:c r="N58" s="44" t="str">
        <x:v>2 个物体：chili plant A、alarm clock B + 1 镜面</x:v>
      </x:c>
      <x:c r="O58" s="44" t="str">
        <x:v>三项反转题中源远近差最小；植物几何/碰撞、低位抓取和沉降可能影响尺度与稳定性。不能靠移动头部满足目标。</x:v>
      </x:c>
      <x:c r="P58" s="44" t="str">
        <x:v>原距离差0.25m，植物/钟抓取和沉降风险高；保留低margin stress。</x:v>
      </x:c>
      <x:c r="Q58" s="44" t="str">
        <x:v>镜像推理→真实空间改造</x:v>
      </x:c>
      <x:c r="R58" s="44" t="str">
        <x:v>Mirror reasoning;Spatial reconfiguration;Manipulation</x:v>
      </x:c>
      <x:c r="S58" s="44" t="str">
        <x:v>设计中（无Task/Scene验收）</x:v>
      </x:c>
      <x:c r="T58" s="44" t="str">
        <x:v>源scene ID已知；Robot适配另行认证</x:v>
      </x:c>
      <x:c r="U58" s="44" t="str">
        <x:v>https://github.com/ESI-Bench/ESI-Bench/blob/9f6f15ed43e81654a97de9e4db2a1fedadca2bc1/dataset/json_clean/Specular%20Reflection/Spatial%20Relations/Wainscott_0_garden/living_room_2/q_001.json</x:v>
      </x:c>
    </x:row>
    <x:row r="59" ht="50" customHeight="1">
      <x:c r="A59" s="44" t="str">
        <x:v>R-S3</x:v>
      </x:c>
      <x:c r="B59" s="54" t="str">
        <x:v>V1-修复后</x:v>
      </x:c>
      <x:c r="C59" s="44" t="str">
        <x:v>P1</x:v>
      </x:c>
      <x:c r="D59" s="44" t="str">
        <x:v>Spatial Reasoning-to-Action</x:v>
      </x:c>
      <x:c r="E59" s="44" t="str">
        <x:v>Reflection-grounded distance-order reversal</x:v>
      </x:c>
      <x:c r="F59" s="44" t="str">
        <x:v>Specular Reflection</x:v>
      </x:c>
      <x:c r="G59" s="44" t="str">
        <x:v>Spatial Relations</x:v>
      </x:c>
      <x:c r="H59" s="44" t="str">
        <x:v>house_double_floor_lower</x:v>
      </x:c>
      <x:c r="I59" s="44" t="str">
        <x:v>living_room_0</x:v>
      </x:c>
      <x:c r="J59" s="44" t="str">
        <x:v>局部工作区／尺寸待测</x:v>
      </x:c>
      <x:c r="K59" s="46"/>
      <x:c r="L59" s="46"/>
      <x:c r="M59" s="48" t="n">
        <x:v>2</x:v>
      </x:c>
      <x:c r="N59" s="44" t="str">
        <x:v>2 个物体：shampoo bottle A、vase B + 1 镜面</x:v>
      </x:c>
      <x:c r="O59" s="44" t="str">
        <x:v>源 B 更近；花瓶局部握持与低位空间未验证。两层楼名称不代表需要跨楼操作；不能额外引入无关导航负担。</x:v>
      </x:c>
      <x:c r="P59" s="44" t="str">
        <x:v>原B更近，任务必须移动物体而不是机器人改观察点；验证花瓶局部持握。</x:v>
      </x:c>
      <x:c r="Q59" s="44" t="str">
        <x:v>镜像推理→真实空间改造</x:v>
      </x:c>
      <x:c r="R59" s="44" t="str">
        <x:v>Mirror reasoning;Spatial reconfiguration;Manipulation</x:v>
      </x:c>
      <x:c r="S59" s="44" t="str">
        <x:v>设计中（无Task/Scene验收）</x:v>
      </x:c>
      <x:c r="T59" s="44" t="str">
        <x:v>源scene ID已知；Robot适配另行认证</x:v>
      </x:c>
      <x:c r="U59" s="44" t="str">
        <x:v>https://github.com/ESI-Bench/ESI-Bench/blob/9f6f15ed43e81654a97de9e4db2a1fedadca2bc1/dataset/json_clean/Specular%20Reflection/Spatial%20Relations/house_double_floor_lower/living_room_0/q_000.json</x:v>
      </x:c>
    </x:row>
    <x:row r="60" ht="50" customHeight="1">
      <x:c r="A60" s="44" t="str">
        <x:v>R-A1</x:v>
      </x:c>
      <x:c r="B60" s="52" t="str">
        <x:v>V2-储备</x:v>
      </x:c>
      <x:c r="C60" s="44" t="str">
        <x:v>P2</x:v>
      </x:c>
      <x:c r="D60" s="44" t="str">
        <x:v>Goal Grounding &amp; Active Perception</x:v>
      </x:c>
      <x:c r="E60" s="44" t="str">
        <x:v>Direct/reflected classification and conditional delivery</x:v>
      </x:c>
      <x:c r="F60" s="44" t="str">
        <x:v>Specular Reflection</x:v>
      </x:c>
      <x:c r="G60" s="44" t="str">
        <x:v>Reflection Authoring</x:v>
      </x:c>
      <x:c r="H60" s="44" t="str">
        <x:v>hall_glass_ceiling</x:v>
      </x:c>
      <x:c r="I60" s="44" t="str">
        <x:v>empty_room_0</x:v>
      </x:c>
      <x:c r="J60" s="44" t="str">
        <x:v>局部工作区／尺寸待测</x:v>
      </x:c>
      <x:c r="K60" s="46"/>
      <x:c r="L60" s="46"/>
      <x:c r="M60" s="48" t="n">
        <x:v>1</x:v>
      </x:c>
      <x:c r="N60" s="44" t="str">
        <x:v>1 个 reagent bottle + 1 镜面；条件送达区待实现</x:v>
      </x:c>
      <x:c r="O60" s="44" t="str">
        <x:v>优先物理初始化风险：相机与低位瓶同 XY；在对齐真实头相机时，本体可能占据瓶的空间。源 visual_only 隐藏了碰撞问题；并非已证明无解。</x:v>
      </x:c>
      <x:c r="P60" s="44" t="str">
        <x:v>源相机与reagent瓶同XY；R1真实相机对位易碰撞，先换source/重建合法光学。</x:v>
      </x:c>
      <x:c r="Q60" s="44" t="str">
        <x:v>镜像感知→目标物理落地</x:v>
      </x:c>
      <x:c r="R60" s="44" t="str">
        <x:v>Reflection diagnosis;Conditional action</x:v>
      </x:c>
      <x:c r="S60" s="44" t="str">
        <x:v>设计中（无Task/Scene验收）</x:v>
      </x:c>
      <x:c r="T60" s="44" t="str">
        <x:v>源scene ID已知；Robot适配另行认证</x:v>
      </x:c>
      <x:c r="U60" s="44" t="str">
        <x:v>https://github.com/ESI-Bench/ESI-Bench/blob/9f6f15ed43e81654a97de9e4db2a1fedadca2bc1/dataset/json_clean/Specular%20Reflection/Reflection%20Authoring/hall_glass_ceiling/empty_room_0/q_000.json</x:v>
      </x:c>
    </x:row>
    <x:row r="61" ht="50" customHeight="1">
      <x:c r="A61" s="44" t="str">
        <x:v>R-A2</x:v>
      </x:c>
      <x:c r="B61" s="50" t="str">
        <x:v>V1-对照</x:v>
      </x:c>
      <x:c r="C61" s="44" t="str">
        <x:v>P1</x:v>
      </x:c>
      <x:c r="D61" s="44" t="str">
        <x:v>Goal Grounding &amp; Active Perception</x:v>
      </x:c>
      <x:c r="E61" s="44" t="str">
        <x:v>Direct/reflected classification and conditional delivery</x:v>
      </x:c>
      <x:c r="F61" s="44" t="str">
        <x:v>Specular Reflection</x:v>
      </x:c>
      <x:c r="G61" s="44" t="str">
        <x:v>Reflection Authoring</x:v>
      </x:c>
      <x:c r="H61" s="44" t="str">
        <x:v>restaurant_hotel</x:v>
      </x:c>
      <x:c r="I61" s="44" t="str">
        <x:v>dining_room_0</x:v>
      </x:c>
      <x:c r="J61" s="44" t="str">
        <x:v>局部工作区／尺寸待测</x:v>
      </x:c>
      <x:c r="K61" s="46"/>
      <x:c r="L61" s="46"/>
      <x:c r="M61" s="48" t="n">
        <x:v>1</x:v>
      </x:c>
      <x:c r="N61" s="44" t="str">
        <x:v>1 个 milk carton + 1 镜面；条件送达区待实现</x:v>
      </x:c>
      <x:c r="O61" s="44" t="str">
        <x:v>较远低位目标可能超出旧版头部水平半径 1 m 的观察约束；它是直视/反射判断对照，不能全部标为依赖反射信息。</x:v>
      </x:c>
      <x:c r="P61" s="44" t="str">
        <x:v>直视No分支是镜像判断负样本，必须搭配R-C/Yes任务并完成条件送达。</x:v>
      </x:c>
      <x:c r="Q61" s="44" t="str">
        <x:v>镜像感知→目标物理落地</x:v>
      </x:c>
      <x:c r="R61" s="44" t="str">
        <x:v>Reflection diagnosis;Conditional action</x:v>
      </x:c>
      <x:c r="S61" s="44" t="str">
        <x:v>设计中（无Task/Scene验收）</x:v>
      </x:c>
      <x:c r="T61" s="44" t="str">
        <x:v>源scene ID已知；Robot适配另行认证</x:v>
      </x:c>
      <x:c r="U61" s="44" t="str">
        <x:v>https://github.com/ESI-Bench/ESI-Bench/blob/9f6f15ed43e81654a97de9e4db2a1fedadca2bc1/dataset/json_clean/Specular%20Reflection/Reflection%20Authoring/restaurant_hotel/dining_room_0/q_001.json</x:v>
      </x:c>
    </x:row>
    <x:row r="62" ht="50" customHeight="1">
      <x:c r="A62" s="44" t="str">
        <x:v>D1-1</x:v>
      </x:c>
      <x:c r="B62" s="54" t="str">
        <x:v>V1-修复后</x:v>
      </x:c>
      <x:c r="C62" s="56" t="str">
        <x:v>P0</x:v>
      </x:c>
      <x:c r="D62" s="44" t="str">
        <x:v>Geometric Feasibility &amp; Affordance</x:v>
      </x:c>
      <x:c r="E62" s="44" t="str">
        <x:v>Width-constrained insertion</x:v>
      </x:c>
      <x:c r="F62" s="44" t="str">
        <x:v>Metric Comparison</x:v>
      </x:c>
      <x:c r="G62" s="44" t="str">
        <x:v>Dimension-Constrained Insertion</x:v>
      </x:c>
      <x:c r="H62" s="44" t="str">
        <x:v>Beechwood (exact scene uncommitted)</x:v>
      </x:c>
      <x:c r="I62" s="44" t="str">
        <x:v>dining_room (uncommitted)</x:v>
      </x:c>
      <x:c r="J62" s="44" t="str">
        <x:v>局部工作区／尺寸待测</x:v>
      </x:c>
      <x:c r="K62" s="46"/>
      <x:c r="L62" s="46"/>
      <x:c r="M62" s="48" t="n">
        <x:v>1</x:v>
      </x:c>
      <x:c r="N62" s="44" t="str">
        <x:v>拟 3 个尺寸冲突候选 + 1 个受限入口；最终资产未定</x:v>
      </x:c>
      <x:c r="O62" s="44" t="str">
        <x:v>若只按默认姿态比较宽度，错误候选旋转后也可能通过；若仅部分放进容器，会与现有 Rigid 重复。</x:v>
      </x:c>
      <x:c r="P62" s="44" t="str">
        <x:v>新作宽度限口；必须真实穿过入口、三候选唯一可行且允许姿态搜索。</x:v>
      </x:c>
      <x:c r="Q62" s="44" t="str">
        <x:v>已知环境下的物理推理→行动</x:v>
      </x:c>
      <x:c r="R62" s="44" t="str">
        <x:v>Metric geometry;Affordance;Insertion</x:v>
      </x:c>
      <x:c r="S62" s="44" t="str">
        <x:v>设计中（无Task/Scene验收）</x:v>
      </x:c>
      <x:c r="T62" s="44" t="str">
        <x:v>仅预选，尚未锁定scene ID</x:v>
      </x:c>
      <x:c r="U62" s="44" t="str">
        <x:v>未提交</x:v>
      </x:c>
    </x:row>
    <x:row r="63" ht="50" customHeight="1">
      <x:c r="A63" s="44" t="str">
        <x:v>D1-2</x:v>
      </x:c>
      <x:c r="B63" s="54" t="str">
        <x:v>V1-修复后</x:v>
      </x:c>
      <x:c r="C63" s="56" t="str">
        <x:v>P0</x:v>
      </x:c>
      <x:c r="D63" s="44" t="str">
        <x:v>Geometric Feasibility &amp; Affordance</x:v>
      </x:c>
      <x:c r="E63" s="44" t="str">
        <x:v>Joint width-height constrained insertion</x:v>
      </x:c>
      <x:c r="F63" s="44" t="str">
        <x:v>Metric Comparison</x:v>
      </x:c>
      <x:c r="G63" s="44" t="str">
        <x:v>Dimension-Constrained Insertion</x:v>
      </x:c>
      <x:c r="H63" s="44" t="str">
        <x:v>Merom (exact scene uncommitted)</x:v>
      </x:c>
      <x:c r="I63" s="44" t="str">
        <x:v>playroom (uncommitted)</x:v>
      </x:c>
      <x:c r="J63" s="44" t="str">
        <x:v>局部工作区／尺寸待测</x:v>
      </x:c>
      <x:c r="K63" s="46"/>
      <x:c r="L63" s="46"/>
      <x:c r="M63" s="48" t="n">
        <x:v>1</x:v>
      </x:c>
      <x:c r="N63" s="44" t="str">
        <x:v>拟 3 个候选 + 1 个有顶隔间；最终资产未定</x:v>
      </x:c>
      <x:c r="O63" s="44" t="str">
        <x:v>顶板净高可能允许物体却不允许持物手进入或撤出；候选宽/高若同方向排序，模型只比较整体大小即可。</x:v>
      </x:c>
      <x:c r="P63" s="44" t="str">
        <x:v>宽高相互冲突，有顶隔间同时允许夹爪进入/退出；先锁定scene_ID。</x:v>
      </x:c>
      <x:c r="Q63" s="44" t="str">
        <x:v>已知环境下的物理推理→行动</x:v>
      </x:c>
      <x:c r="R63" s="44" t="str">
        <x:v>Metric geometry;Affordance;Insertion</x:v>
      </x:c>
      <x:c r="S63" s="44" t="str">
        <x:v>设计中（无Task/Scene验收）</x:v>
      </x:c>
      <x:c r="T63" s="44" t="str">
        <x:v>仅预选，尚未锁定scene ID</x:v>
      </x:c>
      <x:c r="U63" s="44" t="str">
        <x:v>未提交</x:v>
      </x:c>
    </x:row>
    <x:row r="64" ht="50" customHeight="1">
      <x:c r="A64" s="44" t="str">
        <x:v>D1-3</x:v>
      </x:c>
      <x:c r="B64" s="52" t="str">
        <x:v>V2-储备</x:v>
      </x:c>
      <x:c r="C64" s="44" t="str">
        <x:v>P2</x:v>
      </x:c>
      <x:c r="D64" s="44" t="str">
        <x:v>Geometric Feasibility &amp; Affordance</x:v>
      </x:c>
      <x:c r="E64" s="44" t="str">
        <x:v>Depth-orientation constrained insertion</x:v>
      </x:c>
      <x:c r="F64" s="44" t="str">
        <x:v>Metric Comparison</x:v>
      </x:c>
      <x:c r="G64" s="44" t="str">
        <x:v>Dimension-Constrained Insertion</x:v>
      </x:c>
      <x:c r="H64" s="44" t="str">
        <x:v>house_double_floor (exact scene uncommitted)</x:v>
      </x:c>
      <x:c r="I64" s="44" t="str">
        <x:v>living_room (uncommitted)</x:v>
      </x:c>
      <x:c r="J64" s="44" t="str">
        <x:v>局部工作区／尺寸待测</x:v>
      </x:c>
      <x:c r="K64" s="46"/>
      <x:c r="L64" s="46"/>
      <x:c r="M64" s="48" t="n">
        <x:v>1</x:v>
      </x:c>
      <x:c r="N64" s="44" t="str">
        <x:v>拟 3 个候选 + 1 个深度/朝向受限入口；最终资产未定</x:v>
      </x:c>
      <x:c r="O64" s="44" t="str">
        <x:v>转动避障或深度约束可能变成极窄低级控制问题；默认 AABB 尺寸不能证明所有合法朝向都不可行。</x:v>
      </x:c>
      <x:c r="P64" s="44" t="str">
        <x:v>深度/朝向约束偏连续精细控制，先到V2做扫掠体积可行性。</x:v>
      </x:c>
      <x:c r="Q64" s="44" t="str">
        <x:v>已知环境下的物理推理→行动</x:v>
      </x:c>
      <x:c r="R64" s="44" t="str">
        <x:v>Metric geometry;Affordance;Insertion</x:v>
      </x:c>
      <x:c r="S64" s="44" t="str">
        <x:v>设计中（无Task/Scene验收）</x:v>
      </x:c>
      <x:c r="T64" s="44" t="str">
        <x:v>仅预选，尚未锁定scene ID</x:v>
      </x:c>
      <x:c r="U64" s="44" t="str">
        <x:v>未提交</x:v>
      </x:c>
    </x:row>
    <x:row r="65" ht="50" customHeight="1">
      <x:c r="A65" s="44" t="str">
        <x:v>D2-1</x:v>
      </x:c>
      <x:c r="B65" s="54" t="str">
        <x:v>V1-修复后</x:v>
      </x:c>
      <x:c r="C65" s="44" t="str">
        <x:v>P1</x:v>
      </x:c>
      <x:c r="D65" s="44" t="str">
        <x:v>Spatial Reasoning-to-Action</x:v>
      </x:c>
      <x:c r="E65" s="44" t="str">
        <x:v>Height-based physical sorting</x:v>
      </x:c>
      <x:c r="F65" s="44" t="str">
        <x:v>Metric Comparison</x:v>
      </x:c>
      <x:c r="G65" s="44" t="str">
        <x:v>Relational Sorting</x:v>
      </x:c>
      <x:c r="H65" s="44" t="str">
        <x:v>Beechwood (exact scene uncommitted)</x:v>
      </x:c>
      <x:c r="I65" s="44" t="str">
        <x:v>kitchen (uncommitted)</x:v>
      </x:c>
      <x:c r="J65" s="44" t="str">
        <x:v>局部工作区／尺寸待测</x:v>
      </x:c>
      <x:c r="K65" s="46"/>
      <x:c r="L65" s="46"/>
      <x:c r="M65" s="48" t="n">
        <x:v>3</x:v>
      </x:c>
      <x:c r="N65" s="44" t="str">
        <x:v>拟 3 个待排序物体 + 3 个放置位置；最终资产未定</x:v>
      </x:c>
      <x:c r="O65" s="44" t="str">
        <x:v>按世界坐标 AABB 高度排序会受旋转影响；三槽应足够容纳各物体且可稳定放置，桌面拥挤不能替代比较能力。</x:v>
      </x:c>
      <x:c r="P65" s="44" t="str">
        <x:v>3物体按本征高度排序且在单一紧凑工作站放稳，和现有几何构型互补。</x:v>
      </x:c>
      <x:c r="Q65" s="44" t="str">
        <x:v>已知环境下的物理推理→行动</x:v>
      </x:c>
      <x:c r="R65" s="44" t="str">
        <x:v>Metric reasoning;Sorting;Manipulation</x:v>
      </x:c>
      <x:c r="S65" s="44" t="str">
        <x:v>设计中（无Task/Scene验收）</x:v>
      </x:c>
      <x:c r="T65" s="44" t="str">
        <x:v>仅预选，尚未锁定scene ID</x:v>
      </x:c>
      <x:c r="U65" s="44" t="str">
        <x:v>未提交</x:v>
      </x:c>
    </x:row>
    <x:row r="66" ht="50" customHeight="1">
      <x:c r="A66" s="44" t="str">
        <x:v>D2-2</x:v>
      </x:c>
      <x:c r="B66" s="52" t="str">
        <x:v>V2-储备</x:v>
      </x:c>
      <x:c r="C66" s="44" t="str">
        <x:v>P2</x:v>
      </x:c>
      <x:c r="D66" s="44" t="str">
        <x:v>Spatial Reasoning-to-Action</x:v>
      </x:c>
      <x:c r="E66" s="44" t="str">
        <x:v>Width-based physical sorting</x:v>
      </x:c>
      <x:c r="F66" s="44" t="str">
        <x:v>Metric Comparison</x:v>
      </x:c>
      <x:c r="G66" s="44" t="str">
        <x:v>Relational Sorting</x:v>
      </x:c>
      <x:c r="H66" s="44" t="str">
        <x:v>office_cubicles (exact scene uncommitted)</x:v>
      </x:c>
      <x:c r="I66" s="44" t="str">
        <x:v>lobby (uncommitted)</x:v>
      </x:c>
      <x:c r="J66" s="44" t="str">
        <x:v>局部工作区／尺寸待测</x:v>
      </x:c>
      <x:c r="K66" s="46"/>
      <x:c r="L66" s="46"/>
      <x:c r="M66" s="48" t="n">
        <x:v>4</x:v>
      </x:c>
      <x:c r="N66" s="44" t="str">
        <x:v>拟 4 个待排序物体 + 4 个放置位置；最终资产未定</x:v>
      </x:c>
      <x:c r="O66" s="44" t="str">
        <x:v>多 1 个物体同时增加比较、记忆和抓取负担；若与 D2-1 同时改变房型、维度与数量，不能把差异归因于单一因素。</x:v>
      </x:c>
      <x:c r="P66" s="44" t="str">
        <x:v>4物体、宽度、不同大厅三变量混杂；在同站3/4物体配对后再加入。</x:v>
      </x:c>
      <x:c r="Q66" s="44" t="str">
        <x:v>已知环境下的物理推理→行动</x:v>
      </x:c>
      <x:c r="R66" s="44" t="str">
        <x:v>Metric reasoning;Sorting;Manipulation</x:v>
      </x:c>
      <x:c r="S66" s="44" t="str">
        <x:v>设计中（无Task/Scene验收）</x:v>
      </x:c>
      <x:c r="T66" s="44" t="str">
        <x:v>仅预选，尚未锁定scene ID</x:v>
      </x:c>
      <x:c r="U66" s="44" t="str">
        <x:v>未提交</x:v>
      </x:c>
    </x:row>
  </x:sheetData>
  <x:mergeCells>
    <x:mergeCell ref="A1:U2"/>
    <x:mergeCell ref="A3:U3"/>
  </x:mergeCells>
  <x:pageMargins left="0.7" right="0.7" top="0.75" bottom="0.75" header="0.3" footer="0.3"/>
  <x:tableParts count="1">
    <x:tablePart xmlns:r="http://schemas.openxmlformats.org/officeDocument/2006/relationships" r:id="R0470aa511fb44ce5"/>
  </x:tableParts>
</x:worksheet>
</file>

<file path=xl/worksheets/sheet3.xml><?xml version="1.0" encoding="utf-8"?>
<x:worksheet xmlns:x="http://schemas.openxmlformats.org/spreadsheetml/2006/main">
  <x:sheetFormatPr defaultRowHeight="15"/>
  <x:cols>
    <x:col min="1" max="1" width="41"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5" hidden="0" customWidth="1"/>
  </x:cols>
  <x:sheetData>
    <x:row r="1" ht="24" customHeight="1">
      <x:c r="A1" s="4" t="str">
        <x:v>SCIENTIFIC TAXONOMY  |  FAMILY ANALYSIS</x:v>
      </x:c>
      <x:c r="B1" s="4"/>
      <x:c r="C1" s="4"/>
      <x:c r="D1" s="4"/>
      <x:c r="E1" s="4"/>
      <x:c r="F1" s="4"/>
      <x:c r="G1" s="4"/>
      <x:c r="H1" s="4"/>
      <x:c r="I1" s="4"/>
    </x:row>
    <x:row r="2" ht="24" customHeight="1">
      <x:c r="A2" s="4"/>
      <x:c r="B2" s="4"/>
      <x:c r="C2" s="4"/>
      <x:c r="D2" s="4"/>
      <x:c r="E2" s="4"/>
      <x:c r="F2" s="4"/>
      <x:c r="G2" s="4"/>
      <x:c r="H2" s="4"/>
      <x:c r="I2" s="4"/>
    </x:row>
    <x:row r="3" ht="28" customHeight="1">
      <x:c r="A3" s="11" t="str">
        <x:v>一个主要任务家族 + 多个机制标签；不把场景、候选物体和决策能力混为一类。</x:v>
      </x:c>
      <x:c r="B3" s="11"/>
      <x:c r="C3" s="11"/>
      <x:c r="D3" s="11"/>
      <x:c r="E3" s="11"/>
      <x:c r="F3" s="11"/>
      <x:c r="G3" s="11"/>
      <x:c r="H3" s="11"/>
      <x:c r="I3" s="11"/>
    </x:row>
    <x:row r="5" ht="32" customHeight="1">
      <x:c r="A5" s="27" t="str">
        <x:v>任务家族</x:v>
      </x:c>
      <x:c r="B5" s="27" t="str">
        <x:v>总候选</x:v>
      </x:c>
      <x:c r="C5" s="27" t="str">
        <x:v>V1-核心候选</x:v>
      </x:c>
      <x:c r="D5" s="27" t="str">
        <x:v>V1-修复后</x:v>
      </x:c>
      <x:c r="E5" s="27" t="str">
        <x:v>V1-对照</x:v>
      </x:c>
      <x:c r="F5" s="27" t="str">
        <x:v>V2-储备</x:v>
      </x:c>
      <x:c r="G5" s="27" t="str">
        <x:v>合并/替换</x:v>
      </x:c>
    </x:row>
    <x:row r="6" ht="29" customHeight="1">
      <x:c r="A6" t="str">
        <x:v>Physical Planning &amp; Experimentation</x:v>
      </x:c>
      <x:c r="B6" t="n">
        <x:f>COUNTIF(Task_Audit_61!$D$6:$D$66,A6)</x:f>
        <x:v>10</x:v>
      </x:c>
      <x:c r="C6" t="n">
        <x:f>COUNTIFS(Task_Audit_61!$D$6:$D$66,$A6,Task_Audit_61!$B$6:$B$66,"V1-核心候选")</x:f>
        <x:v>0</x:v>
      </x:c>
      <x:c r="D6" t="n">
        <x:f>COUNTIFS(Task_Audit_61!$D$6:$D$66,$A6,Task_Audit_61!$B$6:$B$66,"V1-修复后")</x:f>
        <x:v>3</x:v>
      </x:c>
      <x:c r="E6" t="n">
        <x:f>COUNTIFS(Task_Audit_61!$D$6:$D$66,$A6,Task_Audit_61!$B$6:$B$66,"V1-对照")</x:f>
        <x:v>1</x:v>
      </x:c>
      <x:c r="F6" t="n">
        <x:f>COUNTIFS(Task_Audit_61!$D$6:$D$66,$A6,Task_Audit_61!$B$6:$B$66,"V2-储备")</x:f>
        <x:v>4</x:v>
      </x:c>
      <x:c r="G6" t="n">
        <x:f>COUNTIFS(Task_Audit_61!$D$6:$D$66,$A6,Task_Audit_61!$B$6:$B$66,"合并/替换")</x:f>
        <x:v>2</x:v>
      </x:c>
    </x:row>
    <x:row r="7" ht="29" customHeight="1">
      <x:c r="A7" t="str">
        <x:v>Situated Navigation &amp; Topology</x:v>
      </x:c>
      <x:c r="B7" t="n">
        <x:f>COUNTIF(Task_Audit_61!$D$6:$D$66,A7)</x:f>
        <x:v>8</x:v>
      </x:c>
      <x:c r="C7" t="n">
        <x:f>COUNTIFS(Task_Audit_61!$D$6:$D$66,$A7,Task_Audit_61!$B$6:$B$66,"V1-核心候选")</x:f>
        <x:v>0</x:v>
      </x:c>
      <x:c r="D7" t="n">
        <x:f>COUNTIFS(Task_Audit_61!$D$6:$D$66,$A7,Task_Audit_61!$B$6:$B$66,"V1-修复后")</x:f>
        <x:v>4</x:v>
      </x:c>
      <x:c r="E7" t="n">
        <x:f>COUNTIFS(Task_Audit_61!$D$6:$D$66,$A7,Task_Audit_61!$B$6:$B$66,"V1-对照")</x:f>
        <x:v>1</x:v>
      </x:c>
      <x:c r="F7" t="n">
        <x:f>COUNTIFS(Task_Audit_61!$D$6:$D$66,$A7,Task_Audit_61!$B$6:$B$66,"V2-储备")</x:f>
        <x:v>2</x:v>
      </x:c>
      <x:c r="G7" t="n">
        <x:f>COUNTIFS(Task_Audit_61!$D$6:$D$66,$A7,Task_Audit_61!$B$6:$B$66,"合并/替换")</x:f>
        <x:v>1</x:v>
      </x:c>
    </x:row>
    <x:row r="8" ht="29" customHeight="1">
      <x:c r="A8" t="str">
        <x:v>Geometric Feasibility &amp; Affordance</x:v>
      </x:c>
      <x:c r="B8" t="n">
        <x:f>COUNTIF(Task_Audit_61!$D$6:$D$66,A8)</x:f>
        <x:v>10</x:v>
      </x:c>
      <x:c r="C8" t="n">
        <x:f>COUNTIFS(Task_Audit_61!$D$6:$D$66,$A8,Task_Audit_61!$B$6:$B$66,"V1-核心候选")</x:f>
        <x:v>4</x:v>
      </x:c>
      <x:c r="D8" t="n">
        <x:f>COUNTIFS(Task_Audit_61!$D$6:$D$66,$A8,Task_Audit_61!$B$6:$B$66,"V1-修复后")</x:f>
        <x:v>2</x:v>
      </x:c>
      <x:c r="E8" t="n">
        <x:f>COUNTIFS(Task_Audit_61!$D$6:$D$66,$A8,Task_Audit_61!$B$6:$B$66,"V1-对照")</x:f>
        <x:v>0</x:v>
      </x:c>
      <x:c r="F8" t="n">
        <x:f>COUNTIFS(Task_Audit_61!$D$6:$D$66,$A8,Task_Audit_61!$B$6:$B$66,"V2-储备")</x:f>
        <x:v>3</x:v>
      </x:c>
      <x:c r="G8" t="n">
        <x:f>COUNTIFS(Task_Audit_61!$D$6:$D$66,$A8,Task_Audit_61!$B$6:$B$66,"合并/替换")</x:f>
        <x:v>1</x:v>
      </x:c>
    </x:row>
    <x:row r="9" ht="29" customHeight="1">
      <x:c r="A9" t="str">
        <x:v>Spatial Reasoning-to-Action</x:v>
      </x:c>
      <x:c r="B9" t="n">
        <x:f>COUNTIF(Task_Audit_61!$D$6:$D$66,A9)</x:f>
        <x:v>14</x:v>
      </x:c>
      <x:c r="C9" t="n">
        <x:f>COUNTIFS(Task_Audit_61!$D$6:$D$66,$A9,Task_Audit_61!$B$6:$B$66,"V1-核心候选")</x:f>
        <x:v>3</x:v>
      </x:c>
      <x:c r="D9" t="n">
        <x:f>COUNTIFS(Task_Audit_61!$D$6:$D$66,$A9,Task_Audit_61!$B$6:$B$66,"V1-修复后")</x:f>
        <x:v>5</x:v>
      </x:c>
      <x:c r="E9" t="n">
        <x:f>COUNTIFS(Task_Audit_61!$D$6:$D$66,$A9,Task_Audit_61!$B$6:$B$66,"V1-对照")</x:f>
        <x:v>2</x:v>
      </x:c>
      <x:c r="F9" t="n">
        <x:f>COUNTIFS(Task_Audit_61!$D$6:$D$66,$A9,Task_Audit_61!$B$6:$B$66,"V2-储备")</x:f>
        <x:v>4</x:v>
      </x:c>
      <x:c r="G9" t="n">
        <x:f>COUNTIFS(Task_Audit_61!$D$6:$D$66,$A9,Task_Audit_61!$B$6:$B$66,"合并/替换")</x:f>
        <x:v>0</x:v>
      </x:c>
    </x:row>
    <x:row r="10" ht="29" customHeight="1">
      <x:c r="A10" t="str">
        <x:v>Goal Grounding &amp; Active Perception</x:v>
      </x:c>
      <x:c r="B10" t="n">
        <x:f>COUNTIF(Task_Audit_61!$D$6:$D$66,A10)</x:f>
        <x:v>11</x:v>
      </x:c>
      <x:c r="C10" t="n">
        <x:f>COUNTIFS(Task_Audit_61!$D$6:$D$66,$A10,Task_Audit_61!$B$6:$B$66,"V1-核心候选")</x:f>
        <x:v>4</x:v>
      </x:c>
      <x:c r="D10" t="n">
        <x:f>COUNTIFS(Task_Audit_61!$D$6:$D$66,$A10,Task_Audit_61!$B$6:$B$66,"V1-修复后")</x:f>
        <x:v>2</x:v>
      </x:c>
      <x:c r="E10" t="n">
        <x:f>COUNTIFS(Task_Audit_61!$D$6:$D$66,$A10,Task_Audit_61!$B$6:$B$66,"V1-对照")</x:f>
        <x:v>2</x:v>
      </x:c>
      <x:c r="F10" t="n">
        <x:f>COUNTIFS(Task_Audit_61!$D$6:$D$66,$A10,Task_Audit_61!$B$6:$B$66,"V2-储备")</x:f>
        <x:v>3</x:v>
      </x:c>
      <x:c r="G10" t="n">
        <x:f>COUNTIFS(Task_Audit_61!$D$6:$D$66,$A10,Task_Audit_61!$B$6:$B$66,"合并/替换")</x:f>
        <x:v>0</x:v>
      </x:c>
    </x:row>
    <x:row r="11" ht="29" customHeight="1">
      <x:c r="A11" t="str">
        <x:v>Temporal Memory &amp; World-State Revision</x:v>
      </x:c>
      <x:c r="B11" t="n">
        <x:f>COUNTIF(Task_Audit_61!$D$6:$D$66,A11)</x:f>
        <x:v>8</x:v>
      </x:c>
      <x:c r="C11" t="n">
        <x:f>COUNTIFS(Task_Audit_61!$D$6:$D$66,$A11,Task_Audit_61!$B$6:$B$66,"V1-核心候选")</x:f>
        <x:v>3</x:v>
      </x:c>
      <x:c r="D11" t="n">
        <x:f>COUNTIFS(Task_Audit_61!$D$6:$D$66,$A11,Task_Audit_61!$B$6:$B$66,"V1-修复后")</x:f>
        <x:v>4</x:v>
      </x:c>
      <x:c r="E11" t="n">
        <x:f>COUNTIFS(Task_Audit_61!$D$6:$D$66,$A11,Task_Audit_61!$B$6:$B$66,"V1-对照")</x:f>
        <x:v>1</x:v>
      </x:c>
      <x:c r="F11" t="n">
        <x:f>COUNTIFS(Task_Audit_61!$D$6:$D$66,$A11,Task_Audit_61!$B$6:$B$66,"V2-储备")</x:f>
        <x:v>0</x:v>
      </x:c>
      <x:c r="G11" t="n">
        <x:f>COUNTIFS(Task_Audit_61!$D$6:$D$66,$A11,Task_Audit_61!$B$6:$B$66,"合并/替换")</x:f>
        <x:v>0</x:v>
      </x:c>
    </x:row>
    <x:row r="12" ht="29" customHeight="1">
      <x:c r="A12" s="36" t="str">
        <x:v>合计</x:v>
      </x:c>
      <x:c r="B12" s="36" t="n">
        <x:f>SUM(B6:B11)</x:f>
        <x:v>61</x:v>
      </x:c>
      <x:c r="C12" s="36" t="n">
        <x:f>SUM(C6:C11)</x:f>
        <x:v>14</x:v>
      </x:c>
      <x:c r="D12" s="36" t="n">
        <x:f>SUM(D6:D11)</x:f>
        <x:v>20</x:v>
      </x:c>
      <x:c r="E12" s="36" t="n">
        <x:f>SUM(E6:E11)</x:f>
        <x:v>7</x:v>
      </x:c>
      <x:c r="F12" s="36" t="n">
        <x:f>SUM(F6:F11)</x:f>
        <x:v>16</x:v>
      </x:c>
      <x:c r="G12" s="36" t="n">
        <x:f>SUM(G6:G11)</x:f>
        <x:v>4</x:v>
      </x:c>
    </x:row>
    <x:row r="15" ht="28" customHeight="1">
      <x:c r="A15" s="32" t="str">
        <x:v>适用研究群体</x:v>
      </x:c>
      <x:c r="B15" s="32" t="str">
        <x:v>空间推理</x:v>
      </x:c>
      <x:c r="C15" s="32" t="str">
        <x:v>物理推理</x:v>
      </x:c>
      <x:c r="D15" s="32" t="str">
        <x:v>Agent规划</x:v>
      </x:c>
      <x:c r="E15" s="32" t="str">
        <x:v>Memory</x:v>
      </x:c>
      <x:c r="F15" s="32" t="str">
        <x:v>Active Perception</x:v>
      </x:c>
      <x:c r="G15" s="32" t="str">
        <x:v>VLA/WAM/RUA</x:v>
      </x:c>
      <x:c r="H15" s="32" t="str">
        <x:v>解释</x:v>
      </x:c>
    </x:row>
    <x:row r="16" ht="30" customHeight="1">
      <x:c r="A16" s="34" t="str">
        <x:v>Physical Planning &amp; Experimentation</x:v>
      </x:c>
      <x:c r="B16" s="34" t="str">
        <x:v>中</x:v>
      </x:c>
      <x:c r="C16" s="34" t="str">
        <x:v>强</x:v>
      </x:c>
      <x:c r="D16" s="34" t="str">
        <x:v>强</x:v>
      </x:c>
      <x:c r="E16" s="34" t="str">
        <x:v>低</x:v>
      </x:c>
      <x:c r="F16" s="34" t="str">
        <x:v>中</x:v>
      </x:c>
      <x:c r="G16" s="34" t="str">
        <x:v>强</x:v>
      </x:c>
      <x:c r="H16" s="34" t="str">
        <x:v>受控实验/按给定次序装配</x:v>
      </x:c>
    </x:row>
    <x:row r="17" ht="30" customHeight="1">
      <x:c r="A17" s="34" t="str">
        <x:v>Situated Navigation &amp; Topology</x:v>
      </x:c>
      <x:c r="B17" s="34" t="str">
        <x:v>强</x:v>
      </x:c>
      <x:c r="C17" s="34" t="str">
        <x:v>低</x:v>
      </x:c>
      <x:c r="D17" s="34" t="str">
        <x:v>强</x:v>
      </x:c>
      <x:c r="E17" s="34" t="str">
        <x:v>中</x:v>
      </x:c>
      <x:c r="F17" s="34" t="str">
        <x:v>强</x:v>
      </x:c>
      <x:c r="G17" s="34" t="str">
        <x:v>强</x:v>
      </x:c>
      <x:c r="H17" s="34" t="str">
        <x:v>门、路径与区域拓扑</x:v>
      </x:c>
    </x:row>
    <x:row r="18" ht="30" customHeight="1">
      <x:c r="A18" s="34" t="str">
        <x:v>Geometric Feasibility &amp; Affordance</x:v>
      </x:c>
      <x:c r="B18" s="34" t="str">
        <x:v>强</x:v>
      </x:c>
      <x:c r="C18" s="34" t="str">
        <x:v>强</x:v>
      </x:c>
      <x:c r="D18" s="34" t="str">
        <x:v>中</x:v>
      </x:c>
      <x:c r="E18" s="34" t="str">
        <x:v>低</x:v>
      </x:c>
      <x:c r="F18" s="34" t="str">
        <x:v>中</x:v>
      </x:c>
      <x:c r="G18" s="34" t="str">
        <x:v>强</x:v>
      </x:c>
      <x:c r="H18" s="34" t="str">
        <x:v>尺寸—可操作性</x:v>
      </x:c>
    </x:row>
    <x:row r="19" ht="30" customHeight="1">
      <x:c r="A19" s="34" t="str">
        <x:v>Spatial Reasoning-to-Action</x:v>
      </x:c>
      <x:c r="B19" s="34" t="str">
        <x:v>强</x:v>
      </x:c>
      <x:c r="C19" s="34" t="str">
        <x:v>中</x:v>
      </x:c>
      <x:c r="D19" s="34" t="str">
        <x:v>强</x:v>
      </x:c>
      <x:c r="E19" s="34" t="str">
        <x:v>低</x:v>
      </x:c>
      <x:c r="F19" s="34" t="str">
        <x:v>强</x:v>
      </x:c>
      <x:c r="G19" s="34" t="str">
        <x:v>强</x:v>
      </x:c>
      <x:c r="H19" s="34" t="str">
        <x:v>正确关系的物理重建</x:v>
      </x:c>
    </x:row>
    <x:row r="20" ht="30" customHeight="1">
      <x:c r="A20" s="34" t="str">
        <x:v>Goal Grounding &amp; Active Perception</x:v>
      </x:c>
      <x:c r="B20" s="34" t="str">
        <x:v>中</x:v>
      </x:c>
      <x:c r="C20" s="34" t="str">
        <x:v>中</x:v>
      </x:c>
      <x:c r="D20" s="34" t="str">
        <x:v>强</x:v>
      </x:c>
      <x:c r="E20" s="34" t="str">
        <x:v>中</x:v>
      </x:c>
      <x:c r="F20" s="34" t="str">
        <x:v>强</x:v>
      </x:c>
      <x:c r="G20" s="34" t="str">
        <x:v>强</x:v>
      </x:c>
      <x:c r="H20" s="34" t="str">
        <x:v>主动识别与执行</x:v>
      </x:c>
    </x:row>
    <x:row r="21" ht="30" customHeight="1">
      <x:c r="A21" s="34" t="str">
        <x:v>Temporal Memory &amp; World-State Revision</x:v>
      </x:c>
      <x:c r="B21" s="34" t="str">
        <x:v>中</x:v>
      </x:c>
      <x:c r="C21" s="34" t="str">
        <x:v>低</x:v>
      </x:c>
      <x:c r="D21" s="34" t="str">
        <x:v>强</x:v>
      </x:c>
      <x:c r="E21" s="34" t="str">
        <x:v>强</x:v>
      </x:c>
      <x:c r="F21" s="34" t="str">
        <x:v>中</x:v>
      </x:c>
      <x:c r="G21" s="34" t="str">
        <x:v>强</x:v>
      </x:c>
      <x:c r="H21" s="34" t="str">
        <x:v>历史影响正确动作</x:v>
      </x:c>
    </x:row>
  </x:sheetData>
  <x:mergeCells>
    <x:mergeCell ref="A1:I2"/>
    <x:mergeCell ref="A3:I3"/>
  </x:mergeCells>
  <x:pageMargins left="0.7" right="0.7" top="0.75" bottom="0.75" header="0.3" footer="0.3"/>
  <x:drawing xmlns:r="http://schemas.openxmlformats.org/officeDocument/2006/relationships" r:id="R1b847b326bce4751"/>
</x:worksheet>
</file>

<file path=xl/worksheets/sheet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31" hidden="0" customWidth="1"/>
    <x:col min="2" max="2" width="11" hidden="0" customWidth="1"/>
    <x:col min="3" max="3" width="11" hidden="0" customWidth="1"/>
    <x:col min="4" max="4" width="12" hidden="0" customWidth="1"/>
    <x:col min="5" max="5" width="14" hidden="0" customWidth="1"/>
    <x:col min="6" max="6" width="45" hidden="0" customWidth="1"/>
    <x:col min="7" max="7" width="74" hidden="0" customWidth="1"/>
  </x:cols>
  <x:sheetData>
    <x:row r="1" ht="24" customHeight="1">
      <x:c r="A1" s="4" t="str">
        <x:v>SCENE DIVERSITY  |  REAL SCENE IDENTITIES</x:v>
      </x:c>
      <x:c r="B1" s="4"/>
      <x:c r="C1" s="4"/>
      <x:c r="D1" s="4"/>
      <x:c r="E1" s="4"/>
      <x:c r="F1" s="4"/>
      <x:c r="G1" s="4"/>
      <x:c r="H1" s="4"/>
    </x:row>
    <x:row r="2" ht="24" customHeight="1">
      <x:c r="A2" s="4"/>
      <x:c r="B2" s="4"/>
      <x:c r="C2" s="4"/>
      <x:c r="D2" s="4"/>
      <x:c r="E2" s="4"/>
      <x:c r="F2" s="4"/>
      <x:c r="G2" s="4"/>
      <x:c r="H2" s="4"/>
    </x:row>
    <x:row r="3" ht="28" customHeight="1">
      <x:c r="A3" s="11" t="str">
        <x:v>计数以确切已识别的原生scene ID为准；5个D1/D2设计尚未锁定具体scene，单独列示。</x:v>
      </x:c>
      <x:c r="B3" s="11"/>
      <x:c r="C3" s="11"/>
      <x:c r="D3" s="11"/>
      <x:c r="E3" s="11"/>
      <x:c r="F3" s="11"/>
      <x:c r="G3" s="11"/>
      <x:c r="H3" s="11"/>
    </x:row>
    <x:row r="5" ht="32" customHeight="1">
      <x:c r="A5" s="27" t="str">
        <x:v>原生scene ID</x:v>
      </x:c>
      <x:c r="B5" s="27" t="str">
        <x:v>任务数</x:v>
      </x:c>
      <x:c r="C5" s="27" t="str">
        <x:v>V1候选</x:v>
      </x:c>
      <x:c r="D5" s="27" t="str">
        <x:v>V2/替换</x:v>
      </x:c>
      <x:c r="E5" s="27" t="str">
        <x:v>相关家族数</x:v>
      </x:c>
      <x:c r="F5" s="27" t="str">
        <x:v>反复使用风险</x:v>
      </x:c>
      <x:c r="G5" s="27" t="str">
        <x:v>审核建议</x:v>
      </x:c>
    </x:row>
    <x:row r="6" ht="32" customHeight="1">
      <x:c r="A6" s="34" t="str">
        <x:v>house_single_floor</x:v>
      </x:c>
      <x:c r="B6" s="34" t="n">
        <x:v>16</x:v>
      </x:c>
      <x:c r="C6" s="34" t="n">
        <x:v>14</x:v>
      </x:c>
      <x:c r="D6" s="34" t="n">
        <x:v>2</x:v>
      </x:c>
      <x:c r="E6" s="34" t="n">
        <x:v>4</x:v>
      </x:c>
      <x:c r="F6" s="34" t="str">
        <x:v>高：复用频繁，不按task ID随机切分</x:v>
      </x:c>
      <x:c r="G6" s="34" t="str">
        <x:v>记录 building/layout/room/template family；报告跨scene泛化，而非只报告task数</x:v>
      </x:c>
    </x:row>
    <x:row r="7" ht="32" customHeight="1">
      <x:c r="A7" s="34" t="str">
        <x:v>Beechwood_0_garden</x:v>
      </x:c>
      <x:c r="B7" s="34" t="n">
        <x:v>7</x:v>
      </x:c>
      <x:c r="C7" s="34" t="n">
        <x:v>5</x:v>
      </x:c>
      <x:c r="D7" s="34" t="n">
        <x:v>2</x:v>
      </x:c>
      <x:c r="E7" s="34" t="n">
        <x:v>4</x:v>
      </x:c>
      <x:c r="F7" s="34" t="str">
        <x:v>高：复用频繁，不按task ID随机切分</x:v>
      </x:c>
      <x:c r="G7" s="34" t="str">
        <x:v>记录 building/layout/room/template family；报告跨scene泛化，而非只报告task数</x:v>
      </x:c>
    </x:row>
    <x:row r="8" ht="32" customHeight="1">
      <x:c r="A8" s="34" t="str">
        <x:v>Beechwood_0_int</x:v>
      </x:c>
      <x:c r="B8" s="34" t="n">
        <x:v>5</x:v>
      </x:c>
      <x:c r="C8" s="34" t="n">
        <x:v>5</x:v>
      </x:c>
      <x:c r="D8" s="34" t="n">
        <x:v>0</x:v>
      </x:c>
      <x:c r="E8" s="34" t="n">
        <x:v>5</x:v>
      </x:c>
      <x:c r="F8" s="34" t="str">
        <x:v>高：复用频繁，不按task ID随机切分</x:v>
      </x:c>
      <x:c r="G8" s="34" t="str">
        <x:v>记录 building/layout/room/template family；报告跨scene泛化，而非只报告task数</x:v>
      </x:c>
    </x:row>
    <x:row r="9" ht="32" customHeight="1">
      <x:c r="A9" s="34" t="str">
        <x:v>hall_arch_wood</x:v>
      </x:c>
      <x:c r="B9" s="34" t="n">
        <x:v>4</x:v>
      </x:c>
      <x:c r="C9" s="34" t="n">
        <x:v>3</x:v>
      </x:c>
      <x:c r="D9" s="34" t="n">
        <x:v>1</x:v>
      </x:c>
      <x:c r="E9" s="34" t="n">
        <x:v>2</x:v>
      </x:c>
      <x:c r="F9" s="34" t="str">
        <x:v>中：注意同布局控制变量</x:v>
      </x:c>
      <x:c r="G9" s="34" t="str">
        <x:v>记录 building/layout/room/template family；报告跨scene泛化，而非只报告task数</x:v>
      </x:c>
    </x:row>
    <x:row r="10" ht="32" customHeight="1">
      <x:c r="A10" s="34" t="str">
        <x:v>office_cubicles_left</x:v>
      </x:c>
      <x:c r="B10" s="34" t="n">
        <x:v>3</x:v>
      </x:c>
      <x:c r="C10" s="34" t="n">
        <x:v>0</x:v>
      </x:c>
      <x:c r="D10" s="34" t="n">
        <x:v>3</x:v>
      </x:c>
      <x:c r="E10" s="34" t="n">
        <x:v>3</x:v>
      </x:c>
      <x:c r="F10" s="34" t="str">
        <x:v>中：注意同布局控制变量</x:v>
      </x:c>
      <x:c r="G10" s="34" t="str">
        <x:v>记录 building/layout/room/template family；报告跨scene泛化，而非只报告task数</x:v>
      </x:c>
    </x:row>
    <x:row r="11" ht="32" customHeight="1">
      <x:c r="A11" s="34" t="str">
        <x:v>Merom_0_garden</x:v>
      </x:c>
      <x:c r="B11" s="34" t="n">
        <x:v>2</x:v>
      </x:c>
      <x:c r="C11" s="34" t="n">
        <x:v>2</x:v>
      </x:c>
      <x:c r="D11" s="34" t="n">
        <x:v>0</x:v>
      </x:c>
      <x:c r="E11" s="34" t="n">
        <x:v>2</x:v>
      </x:c>
      <x:c r="F11" s="34" t="str">
        <x:v>低：仍需确认scene变体身份</x:v>
      </x:c>
      <x:c r="G11" s="34" t="str">
        <x:v>记录 building/layout/room/template family；报告跨scene泛化，而非只报告task数</x:v>
      </x:c>
    </x:row>
    <x:row r="12" ht="32" customHeight="1">
      <x:c r="A12" s="34" t="str">
        <x:v>hall_glass_ceiling</x:v>
      </x:c>
      <x:c r="B12" s="34" t="n">
        <x:v>2</x:v>
      </x:c>
      <x:c r="C12" s="34" t="n">
        <x:v>0</x:v>
      </x:c>
      <x:c r="D12" s="34" t="n">
        <x:v>2</x:v>
      </x:c>
      <x:c r="E12" s="34" t="n">
        <x:v>1</x:v>
      </x:c>
      <x:c r="F12" s="34" t="str">
        <x:v>低：仍需确认scene变体身份</x:v>
      </x:c>
      <x:c r="G12" s="34" t="str">
        <x:v>记录 building/layout/room/template family；报告跨scene泛化，而非只报告task数</x:v>
      </x:c>
    </x:row>
    <x:row r="13" ht="32" customHeight="1">
      <x:c r="A13" s="34" t="str">
        <x:v>house_double_floor_lower</x:v>
      </x:c>
      <x:c r="B13" s="34" t="n">
        <x:v>2</x:v>
      </x:c>
      <x:c r="C13" s="34" t="n">
        <x:v>1</x:v>
      </x:c>
      <x:c r="D13" s="34" t="n">
        <x:v>1</x:v>
      </x:c>
      <x:c r="E13" s="34" t="n">
        <x:v>1</x:v>
      </x:c>
      <x:c r="F13" s="34" t="str">
        <x:v>低：仍需确认scene变体身份</x:v>
      </x:c>
      <x:c r="G13" s="34" t="str">
        <x:v>记录 building/layout/room/template family；报告跨scene泛化，而非只报告task数</x:v>
      </x:c>
    </x:row>
    <x:row r="14" ht="32" customHeight="1">
      <x:c r="A14" s="34" t="str">
        <x:v>restaurant_cafeteria</x:v>
      </x:c>
      <x:c r="B14" s="34" t="n">
        <x:v>2</x:v>
      </x:c>
      <x:c r="C14" s="34" t="n">
        <x:v>1</x:v>
      </x:c>
      <x:c r="D14" s="34" t="n">
        <x:v>1</x:v>
      </x:c>
      <x:c r="E14" s="34" t="n">
        <x:v>1</x:v>
      </x:c>
      <x:c r="F14" s="34" t="str">
        <x:v>低：仍需确认scene变体身份</x:v>
      </x:c>
      <x:c r="G14" s="34" t="str">
        <x:v>记录 building/layout/room/template family；报告跨scene泛化，而非只报告task数</x:v>
      </x:c>
    </x:row>
    <x:row r="15" ht="32" customHeight="1">
      <x:c r="A15" s="34" t="str">
        <x:v>restaurant_hotel</x:v>
      </x:c>
      <x:c r="B15" s="34" t="n">
        <x:v>2</x:v>
      </x:c>
      <x:c r="C15" s="34" t="n">
        <x:v>1</x:v>
      </x:c>
      <x:c r="D15" s="34" t="n">
        <x:v>1</x:v>
      </x:c>
      <x:c r="E15" s="34" t="n">
        <x:v>2</x:v>
      </x:c>
      <x:c r="F15" s="34" t="str">
        <x:v>低：仍需确认scene变体身份</x:v>
      </x:c>
      <x:c r="G15" s="34" t="str">
        <x:v>记录 building/layout/room/template family；报告跨scene泛化，而非只报告task数</x:v>
      </x:c>
    </x:row>
    <x:row r="16" ht="32" customHeight="1">
      <x:c r="A16" s="34" t="str">
        <x:v>school_gym</x:v>
      </x:c>
      <x:c r="B16" s="34" t="n">
        <x:v>2</x:v>
      </x:c>
      <x:c r="C16" s="34" t="n">
        <x:v>1</x:v>
      </x:c>
      <x:c r="D16" s="34" t="n">
        <x:v>1</x:v>
      </x:c>
      <x:c r="E16" s="34" t="n">
        <x:v>2</x:v>
      </x:c>
      <x:c r="F16" s="34" t="str">
        <x:v>低：仍需确认scene变体身份</x:v>
      </x:c>
      <x:c r="G16" s="34" t="str">
        <x:v>记录 building/layout/room/template family；报告跨scene泛化，而非只报告task数</x:v>
      </x:c>
    </x:row>
    <x:row r="17" ht="32" customHeight="1">
      <x:c r="A17" s="34" t="str">
        <x:v>Beechwood_1_int</x:v>
      </x:c>
      <x:c r="B17" s="34" t="n">
        <x:v>1</x:v>
      </x:c>
      <x:c r="C17" s="34" t="n">
        <x:v>1</x:v>
      </x:c>
      <x:c r="D17" s="34" t="n">
        <x:v>0</x:v>
      </x:c>
      <x:c r="E17" s="34" t="n">
        <x:v>1</x:v>
      </x:c>
      <x:c r="F17" s="34" t="str">
        <x:v>低：仍需确认scene变体身份</x:v>
      </x:c>
      <x:c r="G17" s="34" t="str">
        <x:v>记录 building/layout/room/template family；报告跨scene泛化，而非只报告task数</x:v>
      </x:c>
    </x:row>
    <x:row r="18" ht="32" customHeight="1">
      <x:c r="A18" s="34" t="str">
        <x:v>Ihlen_0_int</x:v>
      </x:c>
      <x:c r="B18" s="34" t="n">
        <x:v>1</x:v>
      </x:c>
      <x:c r="C18" s="34" t="n">
        <x:v>1</x:v>
      </x:c>
      <x:c r="D18" s="34" t="n">
        <x:v>0</x:v>
      </x:c>
      <x:c r="E18" s="34" t="n">
        <x:v>1</x:v>
      </x:c>
      <x:c r="F18" s="34" t="str">
        <x:v>低：仍需确认scene变体身份</x:v>
      </x:c>
      <x:c r="G18" s="34" t="str">
        <x:v>记录 building/layout/room/template family；报告跨scene泛化，而非只报告task数</x:v>
      </x:c>
    </x:row>
    <x:row r="19" ht="32" customHeight="1">
      <x:c r="A19" s="34" t="str">
        <x:v>Ihlen_1_int</x:v>
      </x:c>
      <x:c r="B19" s="34" t="n">
        <x:v>1</x:v>
      </x:c>
      <x:c r="C19" s="34" t="n">
        <x:v>1</x:v>
      </x:c>
      <x:c r="D19" s="34" t="n">
        <x:v>0</x:v>
      </x:c>
      <x:c r="E19" s="34" t="n">
        <x:v>1</x:v>
      </x:c>
      <x:c r="F19" s="34" t="str">
        <x:v>低：仍需确认scene变体身份</x:v>
      </x:c>
      <x:c r="G19" s="34" t="str">
        <x:v>记录 building/layout/room/template family；报告跨scene泛化，而非只报告task数</x:v>
      </x:c>
    </x:row>
    <x:row r="20" ht="32" customHeight="1">
      <x:c r="A20" s="34" t="str">
        <x:v>Rs_int</x:v>
      </x:c>
      <x:c r="B20" s="34" t="n">
        <x:v>1</x:v>
      </x:c>
      <x:c r="C20" s="34" t="n">
        <x:v>1</x:v>
      </x:c>
      <x:c r="D20" s="34" t="n">
        <x:v>0</x:v>
      </x:c>
      <x:c r="E20" s="34" t="n">
        <x:v>1</x:v>
      </x:c>
      <x:c r="F20" s="34" t="str">
        <x:v>低：仍需确认scene变体身份</x:v>
      </x:c>
      <x:c r="G20" s="34" t="str">
        <x:v>记录 building/layout/room/template family；报告跨scene泛化，而非只报告task数</x:v>
      </x:c>
    </x:row>
    <x:row r="21" ht="32" customHeight="1">
      <x:c r="A21" s="34" t="str">
        <x:v>Wainscott_0_garden</x:v>
      </x:c>
      <x:c r="B21" s="34" t="n">
        <x:v>1</x:v>
      </x:c>
      <x:c r="C21" s="34" t="n">
        <x:v>0</x:v>
      </x:c>
      <x:c r="D21" s="34" t="n">
        <x:v>1</x:v>
      </x:c>
      <x:c r="E21" s="34" t="n">
        <x:v>1</x:v>
      </x:c>
      <x:c r="F21" s="34" t="str">
        <x:v>低：仍需确认scene变体身份</x:v>
      </x:c>
      <x:c r="G21" s="34" t="str">
        <x:v>记录 building/layout/room/template family；报告跨scene泛化，而非只报告task数</x:v>
      </x:c>
    </x:row>
    <x:row r="22" ht="32" customHeight="1">
      <x:c r="A22" s="34" t="str">
        <x:v>house_double_floor_upper</x:v>
      </x:c>
      <x:c r="B22" s="34" t="n">
        <x:v>1</x:v>
      </x:c>
      <x:c r="C22" s="34" t="n">
        <x:v>1</x:v>
      </x:c>
      <x:c r="D22" s="34" t="n">
        <x:v>0</x:v>
      </x:c>
      <x:c r="E22" s="34" t="n">
        <x:v>1</x:v>
      </x:c>
      <x:c r="F22" s="34" t="str">
        <x:v>低：仍需确认scene变体身份</x:v>
      </x:c>
      <x:c r="G22" s="34" t="str">
        <x:v>记录 building/layout/room/template family；报告跨scene泛化，而非只报告task数</x:v>
      </x:c>
    </x:row>
    <x:row r="23" ht="32" customHeight="1">
      <x:c r="A23" s="34" t="str">
        <x:v>office_cubicles_right</x:v>
      </x:c>
      <x:c r="B23" s="34" t="n">
        <x:v>1</x:v>
      </x:c>
      <x:c r="C23" s="34" t="n">
        <x:v>0</x:v>
      </x:c>
      <x:c r="D23" s="34" t="n">
        <x:v>1</x:v>
      </x:c>
      <x:c r="E23" s="34" t="n">
        <x:v>1</x:v>
      </x:c>
      <x:c r="F23" s="34" t="str">
        <x:v>低：仍需确认scene变体身份</x:v>
      </x:c>
      <x:c r="G23" s="34" t="str">
        <x:v>记录 building/layout/room/template family；报告跨scene泛化，而非只报告task数</x:v>
      </x:c>
    </x:row>
    <x:row r="24" ht="32" customHeight="1">
      <x:c r="A24" s="34" t="str">
        <x:v>restaurant_asian</x:v>
      </x:c>
      <x:c r="B24" s="34" t="n">
        <x:v>1</x:v>
      </x:c>
      <x:c r="C24" s="34" t="n">
        <x:v>0</x:v>
      </x:c>
      <x:c r="D24" s="34" t="n">
        <x:v>1</x:v>
      </x:c>
      <x:c r="E24" s="34" t="n">
        <x:v>1</x:v>
      </x:c>
      <x:c r="F24" s="34" t="str">
        <x:v>低：仍需确认scene变体身份</x:v>
      </x:c>
      <x:c r="G24" s="34" t="str">
        <x:v>记录 building/layout/room/template family；报告跨scene泛化，而非只报告task数</x:v>
      </x:c>
    </x:row>
    <x:row r="25" ht="32" customHeight="1">
      <x:c r="A25" s="34" t="str">
        <x:v>school_geography</x:v>
      </x:c>
      <x:c r="B25" s="34" t="n">
        <x:v>1</x:v>
      </x:c>
      <x:c r="C25" s="34" t="n">
        <x:v>0</x:v>
      </x:c>
      <x:c r="D25" s="34" t="n">
        <x:v>1</x:v>
      </x:c>
      <x:c r="E25" s="34" t="n">
        <x:v>1</x:v>
      </x:c>
      <x:c r="F25" s="34" t="str">
        <x:v>低：仍需确认scene变体身份</x:v>
      </x:c>
      <x:c r="G25" s="34" t="str">
        <x:v>记录 building/layout/room/template family；报告跨scene泛化，而非只报告task数</x:v>
      </x:c>
    </x:row>
    <x:row r="27" ht="35" customHeight="1">
      <x:c r="A27" s="41" t="str">
        <x:v>重要：该表是原生场景身份的静态清点，不是建筑可通行面积或真实物理环境多样性证明。</x:v>
      </x:c>
      <x:c r="B27" s="41"/>
      <x:c r="C27" s="41"/>
      <x:c r="D27" s="41"/>
      <x:c r="E27" s="41"/>
      <x:c r="F27" s="41"/>
      <x:c r="G27" s="41"/>
    </x:row>
  </x:sheetData>
  <x:mergeCells>
    <x:mergeCell ref="A1:H2"/>
    <x:mergeCell ref="A3:H3"/>
    <x:mergeCell ref="A27:G27"/>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0" hidden="0" customWidth="1"/>
    <x:col min="2" max="2" width="25" hidden="0" customWidth="1"/>
    <x:col min="3" max="3" width="76" hidden="0" customWidth="1"/>
    <x:col min="4" max="4" width="60" hidden="0" customWidth="1"/>
    <x:col min="5" max="5" width="70" hidden="0" customWidth="1"/>
    <x:col min="6" max="6" width="51" hidden="0" customWidth="1"/>
  </x:cols>
  <x:sheetData>
    <x:row r="1" ht="24" customHeight="1">
      <x:c r="A1" s="4" t="str">
        <x:v>SCENE SUITABILITY  |  MEASURABLE RUBRIC</x:v>
      </x:c>
      <x:c r="B1" s="4"/>
      <x:c r="C1" s="4"/>
      <x:c r="D1" s="4"/>
      <x:c r="E1" s="4"/>
      <x:c r="F1" s="4"/>
    </x:row>
    <x:row r="2" ht="24" customHeight="1">
      <x:c r="A2" s="4"/>
      <x:c r="B2" s="4"/>
      <x:c r="C2" s="4"/>
      <x:c r="D2" s="4"/>
      <x:c r="E2" s="4"/>
      <x:c r="F2" s="4"/>
    </x:row>
    <x:row r="3" ht="28" customHeight="1">
      <x:c r="A3" s="11" t="str">
        <x:v>每个指标独立 PASS / FAIL / INCONCLUSIVE；不把缺失的面积/碰撞/运行时间塞进随意的总分。</x:v>
      </x:c>
      <x:c r="B3" s="11"/>
      <x:c r="C3" s="11"/>
      <x:c r="D3" s="11"/>
      <x:c r="E3" s="11"/>
      <x:c r="F3" s="11"/>
    </x:row>
    <x:row r="5" ht="32" customHeight="1">
      <x:c r="A5" s="27" t="str">
        <x:v>Level</x:v>
      </x:c>
      <x:c r="B5" s="27" t="str">
        <x:v>指标</x:v>
      </x:c>
      <x:c r="C5" s="27" t="str">
        <x:v>推荐定义/字段</x:v>
      </x:c>
      <x:c r="D5" s="27" t="str">
        <x:v>获取途径</x:v>
      </x:c>
      <x:c r="E5" s="27" t="str">
        <x:v>V1判读规则</x:v>
      </x:c>
      <x:c r="F5" s="27" t="str">
        <x:v>本轮状态</x:v>
      </x:c>
    </x:row>
    <x:row r="6" ht="67" customHeight="1">
      <x:c r="A6" s="34" t="str">
        <x:v>P0</x:v>
      </x:c>
      <x:c r="B6" s="34" t="str">
        <x:v>A_loaded / A_nav / A_task</x:v>
      </x:c>
      <x:c r="C6" s="34" t="str">
        <x:v>加载地图标签面积、R1连通可通行面积、真实任务活动工作区，m²</x:v>
      </x:c>
      <x:c r="D6" s="34" t="str">
        <x:v>Floor segmentation + 可通行地图膨胀 + task stance包络</x:v>
      </x:c>
      <x:c r="E6" s="34" t="str">
        <x:v>必须分开报告；缺失未知，不能当0</x:v>
      </x:c>
      <x:c r="F6" s="34" t="str">
        <x:v>A_label仅4项；A_nav与A_task待测</x:v>
      </x:c>
    </x:row>
    <x:row r="7" ht="67" customHeight="1">
      <x:c r="A7" s="34" t="str">
        <x:v>P0</x:v>
      </x:c>
      <x:c r="B7" s="34" t="str">
        <x:v>Route &amp; action cost</x:v>
      </x:c>
      <x:c r="C7" s="34" t="str">
        <x:v>机器人可行路长、需进房间、抓放次数、底层动作/Agent decisions</x:v>
      </x:c>
      <x:c r="D7" s="34" t="str">
        <x:v>R1控制器/连续路径+实际rollout</x:v>
      </x:c>
      <x:c r="E7" s="34" t="str">
        <x:v>&gt;20m放长程层；不能按房数统一决策预算</x:v>
      </x:c>
      <x:c r="F7" s="34" t="str">
        <x:v>历史11.36/43.83m为源参考非R1路径</x:v>
      </x:c>
    </x:row>
    <x:row r="8" ht="67" customHeight="1">
      <x:c r="A8" s="34" t="str">
        <x:v>P0</x:v>
      </x:c>
      <x:c r="B8" s="34" t="str">
        <x:v>Relevant objects / clutter</x:v>
      </x:c>
      <x:c r="C8" s="34" t="str">
        <x:v>独立targets、choices、confusable distractors、supports、visible-background</x:v>
      </x:c>
      <x:c r="D8" s="34" t="str">
        <x:v>Object registry绑定+去重实例+初始8路相机</x:v>
      </x:c>
      <x:c r="E8" s="34" t="str">
        <x:v>重复别名/装置prim不可计入物体；噪声要分背景与相似干扰</x:v>
      </x:c>
      <x:c r="F8" s="34" t="str">
        <x:v>任务相关对象已读；原生背景总数待测</x:v>
      </x:c>
    </x:row>
    <x:row r="9" ht="67" customHeight="1">
      <x:c r="A9" s="34" t="str">
        <x:v>P0</x:v>
      </x:c>
      <x:c r="B9" s="34" t="str">
        <x:v>Manipulation clearance</x:v>
      </x:c>
      <x:c r="C9" s="34" t="str">
        <x:v>局部可抓宽度、入口净宽、夹爪占用、机械臂撤出净空，m</x:v>
      </x:c>
      <x:c r="D9" s="34" t="str">
        <x:v>native mesh + IK + collision + grasp/withdraw</x:v>
      </x:c>
      <x:c r="E9" s="34" t="str">
        <x:v>AABB大于夹口不是绝对失败；瓶身尺寸不代表瓶口尺寸</x:v>
      </x:c>
      <x:c r="F9" s="34" t="str">
        <x:v>T15–17、T18–21、T31为关键风险</x:v>
      </x:c>
    </x:row>
    <x:row r="10" ht="67" customHeight="1">
      <x:c r="A10" s="34" t="str">
        <x:v>P0</x:v>
      </x:c>
      <x:c r="B10" s="34" t="str">
        <x:v>Physical valid terminal</x:v>
      </x:c>
      <x:c r="C10" s="34" t="str">
        <x:v>真实把握/插入/堆叠/镜面关系成立且稳定，无穿模/假成功</x:v>
      </x:c>
      <x:c r="D10" s="34" t="str">
        <x:v>实际机器人轨迹+private evaluator</x:v>
      </x:c>
      <x:c r="E10" s="34" t="str">
        <x:v>至少保留一种完整合法成功轨迹才能上正式V1主榜</x:v>
      </x:c>
      <x:c r="F10" s="34" t="str">
        <x:v>多数未认证，新增13均未实现</x:v>
      </x:c>
    </x:row>
    <x:row r="11" ht="67" customHeight="1">
      <x:c r="A11" s="34" t="str">
        <x:v>P0</x:v>
      </x:c>
      <x:c r="B11" s="34" t="str">
        <x:v>No leakage / no trivial policy</x:v>
      </x:c>
      <x:c r="C11" s="34" t="str">
        <x:v>词面捷径、初始视图可直接解、固定赢家、固定Phase状态</x:v>
      </x:c>
      <x:c r="D11" s="34" t="str">
        <x:v>人工review + initial-view-only baseline + counterfactual pair</x:v>
      </x:c>
      <x:c r="E11" s="34" t="str">
        <x:v>若可无推理/无历史持续成功，改为控制或修复</x:v>
      </x:c>
      <x:c r="F11" s="34" t="str">
        <x:v>T11词面泄露；斜坡3项ball可胜</x:v>
      </x:c>
    </x:row>
    <x:row r="12" ht="67" customHeight="1">
      <x:c r="A12" s="34" t="str">
        <x:v>P1</x:v>
      </x:c>
      <x:c r="B12" s="34" t="str">
        <x:v>Perceptual affordance</x:v>
      </x:c>
      <x:c r="C12" s="34" t="str">
        <x:v>R1 8路相机能否看到必要证据，镜面能否真实产生对应</x:v>
      </x:c>
      <x:c r="D12" s="34" t="str">
        <x:v>原生真实镜面渲染+Agent输入回放</x:v>
      </x:c>
      <x:c r="E12" s="34" t="str">
        <x:v>源虚拟ESI相机FOV和visual_only布置不能证明R1可见/可操作</x:v>
      </x:c>
      <x:c r="F12" s="34" t="str">
        <x:v>8个Reflection方案都需真实相机核对</x:v>
      </x:c>
    </x:row>
    <x:row r="13" ht="67" customHeight="1">
      <x:c r="A13" s="34" t="str">
        <x:v>P1</x:v>
      </x:c>
      <x:c r="B13" s="34" t="str">
        <x:v>Memory/counterfactual validity</x:v>
      </x:c>
      <x:c r="C13" s="34" t="str">
        <x:v>历史不同而当前观测相同的配对种子、干扰延迟、改变后的正确动作</x:v>
      </x:c>
      <x:c r="D13" s="34" t="str">
        <x:v>匹配Phase2 + 扰动Phase1 + memory ablation</x:v>
      </x:c>
      <x:c r="E13" s="34" t="str">
        <x:v>固定初态不可当强Memory任务；no-change合法终止</x:v>
      </x:c>
      <x:c r="F13" s="34" t="str">
        <x:v>六个Unobserved Change共用布局</x:v>
      </x:c>
    </x:row>
    <x:row r="14" ht="67" customHeight="1">
      <x:c r="A14" s="34" t="str">
        <x:v>P1</x:v>
      </x:c>
      <x:c r="B14" s="34" t="str">
        <x:v>Scene/asset independence</x:v>
      </x:c>
      <x:c r="C14" s="34" t="str">
        <x:v>building ID/room ID/layout模板/asset family/seed 分层</x:v>
      </x:c>
      <x:c r="D14" s="34" t="str">
        <x:v>scene metadata + provenance hash + geometric template family</x:v>
      </x:c>
      <x:c r="E14" s="34" t="str">
        <x:v>同scene变体是受控重复，不是新环境泛化样本</x:v>
      </x:c>
      <x:c r="F14" s="34" t="str">
        <x:v>已知20个原生ID；5个Size scene未锁定</x:v>
      </x:c>
    </x:row>
    <x:row r="15" ht="67" customHeight="1">
      <x:c r="A15" s="34" t="str">
        <x:v>P1</x:v>
      </x:c>
      <x:c r="B15" s="34" t="str">
        <x:v>Evaluation cost</x:v>
      </x:c>
      <x:c r="C15" s="34" t="str">
        <x:v>T_sim/T_wall/token/决策数/GPU显存/初始化时长</x:v>
      </x:c>
      <x:c r="D15" s="34" t="str">
        <x:v>真实Episode日志 + 初始化收据</x:v>
      </x:c>
      <x:c r="E15" s="34" t="str">
        <x:v>Quick/Domain/Full分开，报告median/P90，不依赖“1次=固定分钟”</x:v>
      </x:c>
      <x:c r="F15" s="34" t="str">
        <x:v>未知；禁止根据RoboQuest单集时间套用</x:v>
      </x:c>
    </x:row>
    <x:row r="16" ht="67" customHeight="1">
      <x:c r="A16" s="34" t="str">
        <x:v>P1</x:v>
      </x:c>
      <x:c r="B16" s="34" t="str">
        <x:v>Failure diagnosis</x:v>
      </x:c>
      <x:c r="C16" s="34" t="str">
        <x:v>感知/证据缺失、推理、计划、可执行性、控制、评分器错误</x:v>
      </x:c>
      <x:c r="D16" s="34" t="str">
        <x:v>轨迹+ground truth标注（不泄露给Agent）</x:v>
      </x:c>
      <x:c r="E16" s="34" t="str">
        <x:v>不可将不可执行任务的0分归咎Agent</x:v>
      </x:c>
      <x:c r="F16" s="34" t="str">
        <x:v>已有部分Native历史证据，需完整实验</x:v>
      </x:c>
    </x:row>
  </x:sheetData>
  <x:mergeCells>
    <x:mergeCell ref="A1:F2"/>
    <x:mergeCell ref="A3:F3"/>
  </x:mergeCells>
  <x:pageMargins left="0.7" right="0.7" top="0.75" bottom="0.75" header="0.3" footer="0.3"/>
</x:worksheet>
</file>

<file path=xl/worksheets/sheet6.xml><?xml version="1.0" encoding="utf-8"?>
<x:worksheet xmlns:x="http://schemas.openxmlformats.org/spreadsheetml/2006/main">
  <x:sheetFormatPr defaultRowHeight="15"/>
  <x:cols>
    <x:col min="1" max="1" width="15" hidden="0" customWidth="1"/>
    <x:col min="2" max="2" width="25" hidden="0" customWidth="1"/>
    <x:col min="3" max="3" width="60" hidden="0" customWidth="1"/>
    <x:col min="4" max="4" width="42" hidden="0" customWidth="1"/>
    <x:col min="5" max="5" width="55" hidden="0" customWidth="1"/>
    <x:col min="6" max="6" width="16" hidden="0" customWidth="1"/>
    <x:col min="7" max="7" width="57" hidden="0" customWidth="1"/>
  </x:cols>
  <x:sheetData>
    <x:row r="1" ht="24" customHeight="1">
      <x:c r="A1" s="4" t="str">
        <x:v>SCENE CHANGES  |  TARGETED REDESIGNS</x:v>
      </x:c>
      <x:c r="B1" s="4"/>
      <x:c r="C1" s="4"/>
      <x:c r="D1" s="4"/>
      <x:c r="E1" s="4"/>
      <x:c r="F1" s="4"/>
      <x:c r="G1" s="4"/>
    </x:row>
    <x:row r="2" ht="24" customHeight="1">
      <x:c r="A2" s="4"/>
      <x:c r="B2" s="4"/>
      <x:c r="C2" s="4"/>
      <x:c r="D2" s="4"/>
      <x:c r="E2" s="4"/>
      <x:c r="F2" s="4"/>
      <x:c r="G2" s="4"/>
    </x:row>
    <x:row r="3" ht="28" customHeight="1">
      <x:c r="A3" s="11" t="str">
        <x:v>优先用受控物理差异和可证伪的能力缺口替换重复/不可执行候选，不要为了凑60项发明无关难度。</x:v>
      </x:c>
      <x:c r="B3" s="11"/>
      <x:c r="C3" s="11"/>
      <x:c r="D3" s="11"/>
      <x:c r="E3" s="11"/>
      <x:c r="F3" s="11"/>
      <x:c r="G3" s="11"/>
    </x:row>
    <x:row r="5" ht="32" customHeight="1">
      <x:c r="A5" s="27" t="str">
        <x:v>建议路线</x:v>
      </x:c>
      <x:c r="B5" s="27" t="str">
        <x:v>关联任务</x:v>
      </x:c>
      <x:c r="C5" s="27" t="str">
        <x:v>场景变更</x:v>
      </x:c>
      <x:c r="D5" s="27" t="str">
        <x:v>预计新增区分能力</x:v>
      </x:c>
      <x:c r="E5" s="27" t="str">
        <x:v>保留约束</x:v>
      </x:c>
      <x:c r="F5" s="27" t="str">
        <x:v>发布层</x:v>
      </x:c>
      <x:c r="G5" s="27" t="str">
        <x:v>成功门槛</x:v>
      </x:c>
    </x:row>
    <x:row r="6" ht="67" customHeight="1">
      <x:c r="A6" s="34" t="str">
        <x:v>Replace</x:v>
      </x:c>
      <x:c r="B6" s="34" t="str">
        <x:v>T15；对照T16–T17</x:v>
      </x:c>
      <x:c r="C6" s="34" t="str">
        <x:v>宽口透明/不透明容器成对，不依赖不可通过的瓶颈</x:v>
      </x:c>
      <x:c r="D6" s="34" t="str">
        <x:v>透明属性是否改变实际放置决策</x:v>
      </x:c>
      <x:c r="E6" s="34" t="str">
        <x:v>同物体尺寸/开口几何匹配，独立scene revision</x:v>
      </x:c>
      <x:c r="F6" s="34" t="str">
        <x:v>V1可替换</x:v>
      </x:c>
      <x:c r="G6" s="34" t="str">
        <x:v>透明/不透明各有一次合法插入/释放</x:v>
      </x:c>
    </x:row>
    <x:row r="7" ht="67" customHeight="1">
      <x:c r="A7" s="34" t="str">
        <x:v>Repair</x:v>
      </x:c>
      <x:c r="B7" s="34" t="str">
        <x:v>T42–T44</x:v>
      </x:c>
      <x:c r="C7" s="34" t="str">
        <x:v>复用同一斜坡装置，改变摩擦/倾斜/碰撞参数使赢家真的翻转</x:v>
      </x:c>
      <x:c r="D7" s="34" t="str">
        <x:v>实验观察是否改变正确选择</x:v>
      </x:c>
      <x:c r="E7" s="34" t="str">
        <x:v>不重做场景复杂度，固定3类候选与试验预算</x:v>
      </x:c>
      <x:c r="F7" s="34" t="str">
        <x:v>V1-P0</x:v>
      </x:c>
      <x:c r="G7" s="34" t="str">
        <x:v>至少两种条件各有不同且唯一的赢家</x:v>
      </x:c>
    </x:row>
    <x:row r="8" ht="67" customHeight="1">
      <x:c r="A8" s="34" t="str">
        <x:v>Replace</x:v>
      </x:c>
      <x:c r="B8" s="34" t="str">
        <x:v>T21；对照T19</x:v>
      </x:c>
      <x:c r="C8" s="34" t="str">
        <x:v>把浴室内三张孤立台改为共同合法工作站</x:v>
      </x:c>
      <x:c r="D8" s="34" t="str">
        <x:v>稳定构造而非绕台导航</x:v>
      </x:c>
      <x:c r="E8" s="34" t="str">
        <x:v>可抓取与承托条件，原资产尺度可追溯</x:v>
      </x:c>
      <x:c r="F8" s="34" t="str">
        <x:v>V1或V2</x:v>
      </x:c>
      <x:c r="G8" s="34" t="str">
        <x:v>3层支撑+退手+连续稳定</x:v>
      </x:c>
    </x:row>
    <x:row r="9" ht="67" customHeight="1">
      <x:c r="A9" s="34" t="str">
        <x:v>Repair</x:v>
      </x:c>
      <x:c r="B9" s="34" t="str">
        <x:v>T40–T48</x:v>
      </x:c>
      <x:c r="C9" s="34" t="str">
        <x:v>变换比较盒初始分配与操作事件，构建当前视图匹配的历史对</x:v>
      </x:c>
      <x:c r="D9" s="34" t="str">
        <x:v>Memory-conditioned correct action</x:v>
      </x:c>
      <x:c r="E9" s="34" t="str">
        <x:v>一致的Phase2观察与公开物体清单</x:v>
      </x:c>
      <x:c r="F9" s="34" t="str">
        <x:v>V1-P0</x:v>
      </x:c>
      <x:c r="G9" s="34" t="str">
        <x:v>full-history与去历史出现可解释差距</x:v>
      </x:c>
    </x:row>
    <x:row r="10" ht="67" customHeight="1">
      <x:c r="A10" s="34" t="str">
        <x:v>New</x:v>
      </x:c>
      <x:c r="B10" s="34" t="str">
        <x:v>D1-1 / D1-2</x:v>
      </x:c>
      <x:c r="C10" s="34" t="str">
        <x:v>实际狭窄入口、顶板，以及唯一可行的三物体配对</x:v>
      </x:c>
      <x:c r="D10" s="34" t="str">
        <x:v>几何推理→可执行插入</x:v>
      </x:c>
      <x:c r="E10" s="34" t="str">
        <x:v>所有允许朝向和夹爪退手路径验证</x:v>
      </x:c>
      <x:c r="F10" s="34" t="str">
        <x:v>V1-P0</x:v>
      </x:c>
      <x:c r="G10" s="34" t="str">
        <x:v>存在真正合法的穿口/放置轨迹</x:v>
      </x:c>
    </x:row>
    <x:row r="11" ht="67" customHeight="1">
      <x:c r="A11" s="34" t="str">
        <x:v>Repair</x:v>
      </x:c>
      <x:c r="B11" s="34" t="str">
        <x:v>R-C1 / R-C3</x:v>
      </x:c>
      <x:c r="C11" s="34" t="str">
        <x:v>镜像对应三同类候选+实体交付目标</x:v>
      </x:c>
      <x:c r="D11" s="34" t="str">
        <x:v>虚像映射与真实抓取</x:v>
      </x:c>
      <x:c r="E11" s="34" t="str">
        <x:v>实际8路相机、正确光学几何、真实碰撞</x:v>
      </x:c>
      <x:c r="F11" s="34" t="str">
        <x:v>V1-P0</x:v>
      </x:c>
      <x:c r="G11" s="34" t="str">
        <x:v>镜中唯一指代、移动后仍无固定位置捷径</x:v>
      </x:c>
    </x:row>
    <x:row r="12" ht="67" customHeight="1">
      <x:c r="A12" s="34" t="str">
        <x:v>Control</x:v>
      </x:c>
      <x:c r="B12" s="34" t="str">
        <x:v>R-A2；配对R-C1</x:v>
      </x:c>
      <x:c r="C12" s="34" t="str">
        <x:v>保留非镜像直视负样本并执行不同动作分支</x:v>
      </x:c>
      <x:c r="D12" s="34" t="str">
        <x:v>正确判断何时不用镜面信息</x:v>
      </x:c>
      <x:c r="E12" s="34" t="str">
        <x:v>相同控制预算与提交标准</x:v>
      </x:c>
      <x:c r="F12" s="34" t="str">
        <x:v>V1-control</x:v>
      </x:c>
      <x:c r="G12" s="34" t="str">
        <x:v>正确选择直视/反射分支及物理终态</x:v>
      </x:c>
    </x:row>
    <x:row r="13" ht="67" customHeight="1">
      <x:c r="A13" s="34" t="str">
        <x:v>Defer</x:v>
      </x:c>
      <x:c r="B13" s="34" t="str">
        <x:v>R-A1 / R-C2</x:v>
      </x:c>
      <x:c r="C13" s="34" t="str">
        <x:v>更换相机与低位物体重叠的原始构型；大厅长距另分压力任务</x:v>
      </x:c>
      <x:c r="D13" s="34" t="str">
        <x:v>镜面感知下的真实空间操作</x:v>
      </x:c>
      <x:c r="E13" s="34" t="str">
        <x:v>不缩小机器人来使碰撞消失</x:v>
      </x:c>
      <x:c r="F13" s="34" t="str">
        <x:v>V2</x:v>
      </x:c>
      <x:c r="G13" s="34" t="str">
        <x:v>合法初始位姿+无碰撞+可执行目标</x:v>
      </x:c>
    </x:row>
    <x:row r="14" ht="67" customHeight="1">
      <x:c r="A14" s="34" t="str">
        <x:v>Defer</x:v>
      </x:c>
      <x:c r="B14" s="34" t="str">
        <x:v>T08 / T06</x:v>
      </x:c>
      <x:c r="C14" s="34" t="str">
        <x:v>长路径/大面积单独压力套件，统一物理门策略与多段预算</x:v>
      </x:c>
      <x:c r="D14" s="34" t="str">
        <x:v>Large-scale situated planning</x:v>
      </x:c>
      <x:c r="E14" s="34" t="str">
        <x:v>路径可通、开门动作原生执行</x:v>
      </x:c>
      <x:c r="F14" s="34" t="str">
        <x:v>V2</x:v>
      </x:c>
      <x:c r="G14" s="34" t="str">
        <x:v>reference route能走通+分层成本数据</x:v>
      </x:c>
    </x:row>
    <x:row r="15" ht="67" customHeight="1">
      <x:c r="A15" s="34" t="str">
        <x:v>New V2</x:v>
      </x:c>
      <x:c r="B15" s="34" t="str">
        <x:v>新Mechanism: recovery</x:v>
      </x:c>
      <x:c r="C15" s="34" t="str">
        <x:v>加入一次可逆非关键物体扰动并要求恢复后完成主任务</x:v>
      </x:c>
      <x:c r="D15" s="34" t="str">
        <x:v>World-state recovery &amp; adaptive agency</x:v>
      </x:c>
      <x:c r="E15" s="34" t="str">
        <x:v>真实物理可逆，不使用仿真故障作为挑战</x:v>
      </x:c>
      <x:c r="F15" s="34" t="str">
        <x:v>V2</x:v>
      </x:c>
      <x:c r="G15" s="34" t="str">
        <x:v>任务分项：恢复/继续/终态</x:v>
      </x:c>
    </x:row>
  </x:sheetData>
  <x:mergeCells>
    <x:mergeCell ref="A1:G2"/>
    <x:mergeCell ref="A3:G3"/>
  </x:mergeCells>
  <x:pageMargins left="0.7" right="0.7" top="0.75" bottom="0.75" header="0.3" footer="0.3"/>
</x:worksheet>
</file>

<file path=xl/worksheets/sheet7.xml><?xml version="1.0" encoding="utf-8"?>
<x:worksheet xmlns:x="http://schemas.openxmlformats.org/spreadsheetml/2006/main">
  <x:sheetFormatPr defaultRowHeight="15"/>
  <x:cols>
    <x:col min="1" max="1" width="22" hidden="0" customWidth="1"/>
    <x:col min="2" max="2" width="43" hidden="0" customWidth="1"/>
    <x:col min="3" max="3" width="75" hidden="0" customWidth="1"/>
    <x:col min="4" max="4" width="57" hidden="0" customWidth="1"/>
    <x:col min="5" max="5" width="51" hidden="0" customWidth="1"/>
    <x:col min="6" max="6" width="44" hidden="0" customWidth="1"/>
  </x:cols>
  <x:sheetData>
    <x:row r="1" ht="24" customHeight="1">
      <x:c r="A1" s="4" t="str">
        <x:v>RELEASE PROTOCOL  |  V1 THEN V2</x:v>
      </x:c>
      <x:c r="B1" s="4"/>
      <x:c r="C1" s="4"/>
      <x:c r="D1" s="4"/>
      <x:c r="E1" s="4"/>
      <x:c r="F1" s="4"/>
    </x:row>
    <x:row r="2" ht="24" customHeight="1">
      <x:c r="A2" s="4"/>
      <x:c r="B2" s="4"/>
      <x:c r="C2" s="4"/>
      <x:c r="D2" s="4"/>
      <x:c r="E2" s="4"/>
      <x:c r="F2" s="4"/>
    </x:row>
    <x:row r="3" ht="28" customHeight="1">
      <x:c r="A3" s="11" t="str">
        <x:v>V1的意义是提出可验证的科学问题，不是达到‘完全覆盖所有具身智能’的任务规模。</x:v>
      </x:c>
      <x:c r="B3" s="11"/>
      <x:c r="C3" s="11"/>
      <x:c r="D3" s="11"/>
      <x:c r="E3" s="11"/>
      <x:c r="F3" s="11"/>
    </x:row>
    <x:row r="5" ht="32" customHeight="1">
      <x:c r="A5" s="27" t="str">
        <x:v>阶段</x:v>
      </x:c>
      <x:c r="B5" s="27" t="str">
        <x:v>目标</x:v>
      </x:c>
      <x:c r="C5" s="27" t="str">
        <x:v>最低门槛</x:v>
      </x:c>
      <x:c r="D5" s="27" t="str">
        <x:v>输出物</x:v>
      </x:c>
      <x:c r="E5" s="27" t="str">
        <x:v>不做的事</x:v>
      </x:c>
      <x:c r="F5" s="27" t="str">
        <x:v>原因</x:v>
      </x:c>
    </x:row>
    <x:row r="6" ht="78" customHeight="1">
      <x:c r="A6" s="34" t="str">
        <x:v>S0 provenance</x:v>
      </x:c>
      <x:c r="B6" s="34" t="str">
        <x:v>冻结当前51+13-3=61候选</x:v>
      </x:c>
      <x:c r="C6" s="34" t="str">
        <x:v>每项唯一任务ID，source与scene/tag/score版本记录</x:v>
      </x:c>
      <x:c r="D6" s="34" t="str">
        <x:v>61 task proposals + 原审查证据</x:v>
      </x:c>
      <x:c r="E6" s="34" t="str">
        <x:v>把候选数叫完成数</x:v>
      </x:c>
      <x:c r="F6" s="34" t="str">
        <x:v>避免复现歧义</x:v>
      </x:c>
    </x:row>
    <x:row r="7" ht="78" customHeight="1">
      <x:c r="A7" s="34" t="str">
        <x:v>S1 physical gate</x:v>
      </x:c>
      <x:c r="B7" s="34" t="str">
        <x:v>优先P0 12项并筛查其他V1</x:v>
      </x:c>
      <x:c r="C7" s="34" t="str">
        <x:v>单任务可加载；无环境非法初态；能完成至少一次真实合法动作终态</x:v>
      </x:c>
      <x:c r="D7" s="34" t="str">
        <x:v>每项PASS/FAIL/INCONCLUSIVE+截图/视频</x:v>
      </x:c>
      <x:c r="E7" s="34" t="str">
        <x:v>大面积全量压力测试</x:v>
      </x:c>
      <x:c r="F7" s="34" t="str">
        <x:v>优先识别Benchmark无解风险</x:v>
      </x:c>
    </x:row>
    <x:row r="8" ht="78" customHeight="1">
      <x:c r="A8" s="34" t="str">
        <x:v>S2 capability gate</x:v>
      </x:c>
      <x:c r="B8" s="34" t="str">
        <x:v>证明World Understanding-to-Action Gap</x:v>
      </x:c>
      <x:c r="C8" s="34" t="str">
        <x:v>初始视图基线/受控几何对照/历史对照各选代表性机制</x:v>
      </x:c>
      <x:c r="D8" s="34" t="str">
        <x:v>3个机制层的必要性实验</x:v>
      </x:c>
      <x:c r="E8" s="34" t="str">
        <x:v>为每项跑50次</x:v>
      </x:c>
      <x:c r="F8" s="34" t="str">
        <x:v>先证明科学问题存在</x:v>
      </x:c>
    </x:row>
    <x:row r="9" ht="78" customHeight="1">
      <x:c r="A9" s="34" t="str">
        <x:v>S3 v1 preprint</x:v>
      </x:c>
      <x:c r="B9" s="34" t="str">
        <x:v>发布实际通过S1/S2的主集</x:v>
      </x:c>
      <x:c r="C9" s="34" t="str">
        <x:v>公布实际合格数量、标签、适配脚本、逐任务成本和失败类别</x:v>
      </x:c>
      <x:c r="D9" s="34" t="str">
        <x:v>v1.0主榜 + Control + optional stress</x:v>
      </x:c>
      <x:c r="E9" s="34" t="str">
        <x:v>为了维持61硬凑不合格任务</x:v>
      </x:c>
      <x:c r="F9" s="34" t="str">
        <x:v>低门槛可靠复用</x:v>
      </x:c>
    </x:row>
    <x:row r="10" ht="78" customHeight="1">
      <x:c r="A10" s="34" t="str">
        <x:v>S4 community evaluation</x:v>
      </x:c>
      <x:c r="B10" s="34" t="str">
        <x:v>兼容RUA/Agent/VLA/WAM</x:v>
      </x:c>
      <x:c r="C10" s="34" t="str">
        <x:v>统一obs+capability contract，明确low-level action vs high-level action比较条件</x:v>
      </x:c>
      <x:c r="D10" s="34" t="str">
        <x:v>Quick（每机制代表1项）/Domain/Full协议</x:v>
      </x:c>
      <x:c r="E10" s="34" t="str">
        <x:v>不同执行接口直接混合排名</x:v>
      </x:c>
      <x:c r="F10" s="34" t="str">
        <x:v>避免架构不公平</x:v>
      </x:c>
    </x:row>
    <x:row r="11" ht="78" customHeight="1">
      <x:c r="A11" s="34" t="str">
        <x:v>S5 v2 expansion</x:v>
      </x:c>
      <x:c r="B11" s="34" t="str">
        <x:v>扩物理、长期记忆、恢复/多模态模型</x:v>
      </x:c>
      <x:c r="C11" s="34" t="str">
        <x:v>旧v1冻结任务与评分版本；新增scene与测试集</x:v>
      </x:c>
      <x:c r="D11" s="34" t="str">
        <x:v>v2新榜、v1可长期引用</x:v>
      </x:c>
      <x:c r="E11" s="34" t="str">
        <x:v>悄然覆盖v1 leaderboard</x:v>
      </x:c>
      <x:c r="F11" s="34" t="str">
        <x:v>保证社区稳定复现</x:v>
      </x:c>
    </x:row>
  </x:sheetData>
  <x:mergeCells>
    <x:mergeCell ref="A1:F2"/>
    <x:mergeCell ref="A3:F3"/>
  </x:mergeCells>
  <x:pageMargins left="0.7" right="0.7" top="0.75" bottom="0.75" header="0.3" footer="0.3"/>
</x:worksheet>
</file>

<file path=xl/worksheets/sheet8.xml><?xml version="1.0" encoding="utf-8"?>
<x:worksheet xmlns:x="http://schemas.openxmlformats.org/spreadsheetml/2006/main">
  <x:sheetFormatPr defaultRowHeight="15"/>
  <x:cols>
    <x:col min="1" max="1" width="23" hidden="0" customWidth="1"/>
    <x:col min="2" max="2" width="95" hidden="0" customWidth="1"/>
    <x:col min="3" max="3" width="60" hidden="0" customWidth="1"/>
    <x:col min="4" max="4" width="68" hidden="0" customWidth="1"/>
    <x:col min="5" max="5" width="18" hidden="0" customWidth="1"/>
    <x:col min="6" max="6" width="50" hidden="0" customWidth="1"/>
  </x:cols>
  <x:sheetData>
    <x:row r="1" ht="24" customHeight="1">
      <x:c r="A1" s="4" t="str">
        <x:v>EVIDENCE &amp; LIMITATIONS  |  PROVENANCE</x:v>
      </x:c>
      <x:c r="B1" s="4"/>
      <x:c r="C1" s="4"/>
      <x:c r="D1" s="4"/>
      <x:c r="E1" s="4"/>
      <x:c r="F1" s="4"/>
    </x:row>
    <x:row r="2" ht="24" customHeight="1">
      <x:c r="A2" s="4"/>
      <x:c r="B2" s="4"/>
      <x:c r="C2" s="4"/>
      <x:c r="D2" s="4"/>
      <x:c r="E2" s="4"/>
      <x:c r="F2" s="4"/>
    </x:row>
    <x:row r="3" ht="28" customHeight="1">
      <x:c r="A3" s="11" t="str">
        <x:v>本工作未调用远端服务器GPU，不应将先前Native收据或代码审查误表述为本轮仿真实验。</x:v>
      </x:c>
      <x:c r="B3" s="11"/>
      <x:c r="C3" s="11"/>
      <x:c r="D3" s="11"/>
      <x:c r="E3" s="11"/>
      <x:c r="F3" s="11"/>
    </x:row>
    <x:row r="5" ht="32" customHeight="1">
      <x:c r="A5" s="27" t="str">
        <x:v>资料</x:v>
      </x:c>
      <x:c r="B5" s="27" t="str">
        <x:v>来源URL / 文件</x:v>
      </x:c>
      <x:c r="C5" s="27" t="str">
        <x:v>可用于支持</x:v>
      </x:c>
      <x:c r="D5" s="27" t="str">
        <x:v>不能用于宣称</x:v>
      </x:c>
      <x:c r="E5" s="27" t="str">
        <x:v>时间/版本</x:v>
      </x:c>
      <x:c r="F5" s="27" t="str">
        <x:v>备注</x:v>
      </x:c>
    </x:row>
    <x:row r="6" ht="60" customHeight="1">
      <x:c r="A6" s="34" t="str">
        <x:v>原有任务审计</x:v>
      </x:c>
      <x:c r="B6" s="34" t="str">
        <x:v>Library: Explore_to_Achieve_Audit.xlsx</x:v>
      </x:c>
      <x:c r="C6" s="34" t="str">
        <x:v>51+13-3计数、64行说明、局部几何与任务对象</x:v>
      </x:c>
      <x:c r="D6" s="34" t="str">
        <x:v>不能证明机器人/Agent已完成61项</x:v>
      </x:c>
      <x:c r="E6" s="34" t="str">
        <x:v>2026-10-22</x:v>
      </x:c>
      <x:c r="F6" s="34" t="str">
        <x:v>依照任务审计表增量重组</x:v>
      </x:c>
    </x:row>
    <x:row r="7" ht="60" customHeight="1">
      <x:c r="A7" s="34" t="str">
        <x:v>CoreV2任务定义</x:v>
      </x:c>
      <x:c r="B7" s="34" t="str">
        <x:v>https://github.com/XuanCheg/Show-Harness-Explore/tree/33bada4bb278471b7a925cd8ddfa3d46a19f52fb/explore_to_achieve/tasks</x:v>
      </x:c>
      <x:c r="C7" s="34" t="str">
        <x:v>原始public/private contracts和scenario适配</x:v>
      </x:c>
      <x:c r="D7" s="34" t="str">
        <x:v>不能假定main同提交</x:v>
      </x:c>
      <x:c r="E7" s="34" t="str">
        <x:v>33bada4</x:v>
      </x:c>
      <x:c r="F7" s="34" t="str">
        <x:v>已核对多个关键任务定义</x:v>
      </x:c>
    </x:row>
    <x:row r="8" ht="60" customHeight="1">
      <x:c r="A8" s="34" t="str">
        <x:v>仓库主分支审查</x:v>
      </x:c>
      <x:c r="B8" s="34" t="str">
        <x:v>https://github.com/XuanCheg/Show-Harness-Explore</x:v>
      </x:c>
      <x:c r="C8" s="34" t="str">
        <x:v>R1 harness、相关任务代码与历史Native日志</x:v>
      </x:c>
      <x:c r="D8" s="34" t="str">
        <x:v>不可把原分支的27 Rigid tasks等同当前61项全ready</x:v>
      </x:c>
      <x:c r="E8" s="34" t="str">
        <x:v>2026-10-22</x:v>
      </x:c>
      <x:c r="F8" s="34" t="str">
        <x:v>master/main可能滞后于审计快照</x:v>
      </x:c>
    </x:row>
    <x:row r="9" ht="60" customHeight="1">
      <x:c r="A9" s="34" t="str">
        <x:v>RoboQuest</x:v>
      </x:c>
      <x:c r="B9" s="34" t="str">
        <x:v>https://arxiv.org/abs/2610.10388</x:v>
      </x:c>
      <x:c r="C9" s="34" t="str">
        <x:v>Search/Inspect/Test，缺失证据获取问题</x:v>
      </x:c>
      <x:c r="D9" s="34" t="str">
        <x:v>不能称对方没有Memory或Physical Reasoning</x:v>
      </x:c>
      <x:c r="E9" s="34" t="str">
        <x:v>2026-10-07</x:v>
      </x:c>
      <x:c r="F9" s="34" t="str">
        <x:v>新论文需证明不同research question</x:v>
      </x:c>
    </x:row>
    <x:row r="10" ht="60" customHeight="1">
      <x:c r="A10" s="34" t="str">
        <x:v>ESI-Bench</x:v>
      </x:c>
      <x:c r="B10" s="34" t="str">
        <x:v>https://arxiv.org/abs/2605.18746</x:v>
      </x:c>
      <x:c r="C10" s="34" t="str">
        <x:v>10 categories / 29 subcategories与原始场景源</x:v>
      </x:c>
      <x:c r="D10" s="34" t="str">
        <x:v>不能把ESI中camera teleport当可行机器人动作</x:v>
      </x:c>
      <x:c r="E10" s="34" t="str">
        <x:v>2026-05-18</x:v>
      </x:c>
      <x:c r="F10" s="34" t="str">
        <x:v>场景与源metadata复用</x:v>
      </x:c>
    </x:row>
    <x:row r="11" ht="60" customHeight="1">
      <x:c r="A11" s="34" t="str">
        <x:v>判定说明</x:v>
      </x:c>
      <x:c r="B11" s="34" t="str">
        <x:v>本轮仅静态分析原审计+原始YAML，未运行新仿真</x:v>
      </x:c>
      <x:c r="C11" s="34" t="str">
        <x:v>风险排序、场景组合建议、下一步P0清单</x:v>
      </x:c>
      <x:c r="D11" s="34" t="str">
        <x:v>不能产生真实导航面积、物理成功率、运行成本</x:v>
      </x:c>
      <x:c r="E11" s="34" t="str">
        <x:v>2026-10-22</x:v>
      </x:c>
      <x:c r="F11" s="34" t="str">
        <x:v>所有缺失数值维持待测</x:v>
      </x:c>
    </x:row>
  </x:sheetData>
  <x:mergeCells>
    <x:mergeCell ref="A1:F2"/>
    <x:mergeCell ref="A3:F3"/>
  </x:mergeCells>
  <x:pageMargins left="0.7" right="0.7" top="0.75" bottom="0.75" header="0.3" footer="0.3"/>
</x:worksheet>
</file>