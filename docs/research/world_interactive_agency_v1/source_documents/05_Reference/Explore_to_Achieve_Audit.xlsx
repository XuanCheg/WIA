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b17a5e9f44492f" /></Relationships>
</file>

<file path=xl/workbook.xml><?xml version="1.0" encoding="utf-8"?>
<x:workbook xmlns:x="http://schemas.openxmlformats.org/spreadsheetml/2006/main">
  <x:sheets>
    <x:sheet xmlns:r="http://schemas.openxmlformats.org/officeDocument/2006/relationships" name="Overview" sheetId="1" r:id="Rde7c5eb7eaa54522"/>
    <x:sheet xmlns:r="http://schemas.openxmlformats.org/officeDocument/2006/relationships" name="Tasks" sheetId="2" r:id="R9415dbbd08594d43"/>
    <x:sheet xmlns:r="http://schemas.openxmlformats.org/officeDocument/2006/relationships" name="Criteria" sheetId="3" r:id="R35fb48b254a043c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7">
    <x:font>
      <x:sz val="11"/>
      <x:name val="Carlito"/>
    </x:font>
    <x:font>
      <x:sz val="10"/>
      <x:color rgb="FF253547"/>
      <x:name val="Noto Sans CJK SC"/>
    </x:font>
    <x:font>
      <x:b/>
      <x:sz val="16"/>
      <x:color rgb="FF26374A"/>
      <x:name val="Noto Sans CJK SC"/>
    </x:font>
    <x:font>
      <x:sz val="10"/>
      <x:color rgb="FF68788A"/>
      <x:name val="Noto Sans CJK SC"/>
    </x:font>
    <x:font>
      <x:b/>
      <x:sz val="10"/>
      <x:color rgb="FFFFFFFF"/>
      <x:name val="Noto Sans CJK SC"/>
    </x:font>
    <x:font>
      <x:u val="single"/>
      <x:sz val="10"/>
      <x:color rgb="FF4C78A8"/>
      <x:name val="Noto Sans CJK SC"/>
    </x:font>
    <x:font>
      <x:b/>
      <x:sz val="10"/>
      <x:color rgb="FF26374A"/>
      <x:name val="Noto Sans CJK SC"/>
    </x:font>
  </x:fonts>
  <x:fills count="5">
    <x:fill>
      <x:patternFill patternType="none"/>
    </x:fill>
    <x:fill>
      <x:patternFill patternType="gray125"/>
    </x:fill>
    <x:fill>
      <x:patternFill patternType="solid">
        <x:fgColor rgb="FF26374A"/>
      </x:patternFill>
    </x:fill>
    <x:fill>
      <x:patternFill patternType="solid">
        <x:fgColor rgb="FFFFFFFF"/>
      </x:patternFill>
    </x:fill>
    <x:fill>
      <x:patternFill patternType="solid">
        <x:fgColor rgb="FFF2F5F9"/>
      </x:patternFill>
    </x:fill>
  </x:fills>
  <x:borders count="8">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E2E7EE"/>
      </x:bottom>
      <x:diagonal/>
    </x:border>
    <x:border>
      <x:left/>
      <x:right/>
      <x:top style="thin">
        <x:color rgb="FFE2E7EE"/>
      </x:top>
      <x:bottom style="thin">
        <x:color rgb="FFE2E7EE"/>
      </x:bottom>
      <x:diagonal/>
    </x:border>
    <x:border>
      <x:left/>
      <x:right/>
      <x:top style="thin">
        <x:color rgb="FFE2E7EE"/>
      </x:top>
      <x:bottom/>
      <x:diagonal/>
    </x:border>
    <x:border>
      <x:left/>
      <x:right/>
      <x:top/>
      <x:bottom style="thin">
        <x:color rgb="FFCAD3DE"/>
      </x:bottom>
      <x:diagonal/>
    </x:border>
  </x:borders>
  <x:cellStyleXfs count="1">
    <x:xf numFmtId="0" fontId="0" fillId="0" borderId="0"/>
  </x:cellStyleXfs>
  <x:cellXfs count="4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4" xfId="0" applyNumberFormat="1" applyFont="1" applyFill="1" applyBorder="1" applyAlignment="1">
      <x:alignment horizontal="center" vertical="top" wrapText="1"/>
    </x:xf>
    <x:xf numFmtId="0" fontId="1" fillId="3" borderId="5" xfId="0" applyNumberFormat="1" applyFont="1" applyFill="1" applyBorder="1" applyAlignment="1">
      <x:alignment horizontal="center" vertical="top" wrapText="1"/>
    </x:xf>
    <x:xf numFmtId="0" fontId="1" fillId="4" borderId="5" xfId="0" applyNumberFormat="1" applyFont="1" applyFill="1" applyBorder="1" applyAlignment="1">
      <x:alignment horizontal="center" vertical="top" wrapText="1"/>
    </x:xf>
    <x:xf numFmtId="0" fontId="1" fillId="3" borderId="6" xfId="0" applyNumberFormat="1" applyFont="1" applyFill="1" applyBorder="1" applyAlignment="1">
      <x:alignment horizontal="center" vertical="top" wrapText="1"/>
    </x:xf>
    <x:xf numFmtId="200" fontId="1" fillId="4" borderId="4" xfId="0" applyNumberFormat="1" applyFont="1" applyFill="1" applyBorder="1" applyAlignment="1">
      <x:alignment vertical="top" wrapText="1"/>
    </x:xf>
    <x:xf numFmtId="200" fontId="1" fillId="3" borderId="5" xfId="0" applyNumberFormat="1" applyFont="1" applyFill="1" applyBorder="1" applyAlignment="1">
      <x:alignment vertical="top" wrapText="1"/>
    </x:xf>
    <x:xf numFmtId="200" fontId="1" fillId="4" borderId="5" xfId="0" applyNumberFormat="1" applyFont="1" applyFill="1" applyBorder="1" applyAlignment="1">
      <x:alignment vertical="top" wrapText="1"/>
    </x:xf>
    <x:xf numFmtId="200" fontId="1" fillId="3" borderId="6"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1" fillId="0" borderId="7"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1"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201" fontId="6" fillId="4" borderId="0" xfId="0" applyNumberFormat="1" applyFont="1" applyFill="1" applyBorder="1" applyAlignment="1">
      <x:alignment vertical="center"/>
    </x:xf>
    <x:xf numFmtId="0"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4" borderId="0" xfId="0" applyNumberFormat="1" applyFont="1" applyFill="1" applyBorder="1" applyAlignment="1">
      <x:alignment vertical="center"/>
    </x:xf>
    <x:xf numFmtId="202" fontId="6" fillId="4" borderId="0" xfId="0" applyNumberFormat="1" applyFont="1" applyFill="1" applyBorder="1" applyAlignment="1">
      <x:alignment vertical="center"/>
    </x:xf>
  </x:cellXfs>
  <x:cellStyles count="1">
    <x:cellStyle name="Normal" xfId="0"/>
  </x:cellStyles>
  <x:dxfs count="4">
    <x:dxf>
      <x:font>
        <x:color rgb="FF68788A"/>
      </x:font>
      <x:fill>
        <x:patternFill patternType="solid">
          <x:bgColor rgb="FFF2F5F9"/>
        </x:patternFill>
      </x:fill>
    </x:dxf>
    <x:dxf>
      <x:fill>
        <x:patternFill patternType="solid">
          <x:bgColor rgb="FFFFF1D6"/>
        </x:patternFill>
      </x:fill>
    </x:dxf>
    <x:dxf>
      <x:fill>
        <x:patternFill patternType="solid">
          <x:bgColor rgb="FFFFF1D6"/>
        </x:patternFill>
      </x:fill>
    </x:dxf>
    <x:dxf>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fbf1ff33ed4310" /><Relationship Type="http://schemas.openxmlformats.org/officeDocument/2006/relationships/theme" Target="/xl/theme/theme1.xml" Id="R056c500c71424735" /><Relationship Type="http://schemas.openxmlformats.org/officeDocument/2006/relationships/sharedStrings" Target="/xl/sharedStrings.xml" Id="R7d0a3de432734a57" /><Relationship Type="http://schemas.openxmlformats.org/officeDocument/2006/relationships/worksheet" Target="/xl/worksheets/sheet1.xml" Id="Rde7c5eb7eaa54522" /><Relationship Type="http://schemas.openxmlformats.org/officeDocument/2006/relationships/worksheet" Target="/xl/worksheets/sheet2.xml" Id="R9415dbbd08594d43" /><Relationship Type="http://schemas.openxmlformats.org/officeDocument/2006/relationships/worksheet" Target="/xl/worksheets/sheet3.xml" Id="R35fb48b254a043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09d13707113456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Noto Sans CJK SC"/>
                <a:ea typeface="Noto Sans CJK SC"/>
                <a:cs typeface="Noto Sans CJK SC"/>
              </a:rPr>
              <a:t>主要任务目标分类（候选61项）</a:t>
            </a:r>
          </a:p>
        </c:rich>
      </c:tx>
      <c:overlay val="0"/>
      <c:txPr>
        <a:bodyPr xmlns:a="http://schemas.openxmlformats.org/drawingml/2006/main" anchorCtr="1"/>
        <a:lstStyle xmlns:a="http://schemas.openxmlformats.org/drawingml/2006/main"/>
        <a:p xmlns:a="http://schemas.openxmlformats.org/drawingml/2006/main">
          <a:pPr>
            <a:defRPr sz="1050">
              <a:latin typeface="Noto Sans CJK SC"/>
              <a:ea typeface="Noto Sans CJK SC"/>
              <a:cs typeface="Noto Sans CJK SC"/>
            </a:defRPr>
          </a:pPr>
        </a:p>
      </c:txPr>
    </c:title>
    <c:plotArea>
      <c:barChart>
        <c:barDir val="bar"/>
        <c:grouping val="clustered"/>
        <c:varyColors val="0"/>
        <c:ser>
          <c:idx val="0"/>
          <c:order val="0"/>
          <c:tx>
            <c:v>任务数</c:v>
          </c:tx>
          <c:spPr>
            <a:solidFill xmlns:a="http://schemas.openxmlformats.org/drawingml/2006/main">
              <a:srgbClr val="4C78A8"/>
            </a:solidFill>
          </c:spPr>
          <c:invertIfNegative val="0"/>
          <c:cat>
            <c:strRef>
              <c:f>'Overview'!$B$15:$B$20</c:f>
              <c:strCache>
                <c:ptCount val="0"/>
              </c:strCache>
            </c:strRef>
          </c:cat>
          <c:val>
            <c:numRef>
              <c:f>'Overview'!$C$15:$C$20</c:f>
              <c:numCache>
                <c:formatCode>#,##0</c:formatCode>
                <c:ptCount val="0"/>
              </c:numCache>
            </c:numRef>
          </c:val>
        </c:ser>
        <c:dLbls>
          <c:txPr>
            <a:bodyPr xmlns:a="http://schemas.openxmlformats.org/drawingml/2006/main" anchorCtr="1"/>
            <a:lstStyle xmlns:a="http://schemas.openxmlformats.org/drawingml/2006/main"/>
            <a:p xmlns:a="http://schemas.openxmlformats.org/drawingml/2006/main">
              <a:pPr>
                <a:defRPr sz="750">
                  <a:latin typeface="Noto Sans CJK SC"/>
                  <a:ea typeface="Noto Sans CJK SC"/>
                  <a:cs typeface="Noto Sans CJK SC"/>
                </a:defRPr>
              </a:pPr>
            </a:p>
          </c:txPr>
          <c:showLegendKey val="0"/>
          <c:showVal val="1"/>
          <c:showCatName val="0"/>
          <c:showSerName val="0"/>
          <c:showPercent val="0"/>
          <c:showBubbleSize val="0"/>
          <c:showLeaderLines val="0"/>
        </c:dLbls>
        <c:gapWidth val="70"/>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Noto Sans CJK SC"/>
                <a:ea typeface="Noto Sans CJK SC"/>
                <a:cs typeface="Noto Sans CJK SC"/>
              </a:defRPr>
            </a:pPr>
          </a:p>
        </c:txPr>
        <c:crossAx val="48672768"/>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Noto Sans CJK SC"/>
                <a:ea typeface="Noto Sans CJK SC"/>
                <a:cs typeface="Noto Sans CJK SC"/>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13</xdr:row>
      <xdr:rowOff>0</xdr:rowOff>
    </xdr:from>
    <xdr:to>
      <xdr:col>13</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9d13707113456a"/>
        </a:graphicData>
      </a:graphic>
    </xdr:graphicFrame>
    <xdr:clientData/>
  </xdr:twoCellAnchor>
</xdr:wsDr>
</file>

<file path=xl/tables/table1.xml><?xml version="1.0" encoding="utf-8"?>
<x:table xmlns:x="http://schemas.openxmlformats.org/spreadsheetml/2006/main" id="1" name="TaskAudit" displayName="TaskAudit" ref="A5:Q69" headerRowCount="1" totalsRowCount="0" totalsRowShown="0">
  <x:autoFilter ref="A5:Q69"/>
  <x:tableColumns count="17">
    <x:tableColumn id="1" name="短ID"/>
    <x:tableColumn id="2" name="纳入61"/>
    <x:tableColumn id="3" name="实现状态"/>
    <x:tableColumn id="4" name="场景"/>
    <x:tableColumn id="5" name="房间"/>
    <x:tableColumn id="6" name="来源大类"/>
    <x:tableColumn id="7" name="来源子类"/>
    <x:tableColumn id="8" name="主要任务目标分类"/>
    <x:tableColumn id="9" name="建议子类"/>
    <x:tableColumn id="10" name="任务物体与数量"/>
    <x:tableColumn id="11" name="面积与口径"/>
    <x:tableColumn id="12" name="任务范围"/>
    <x:tableColumn id="13" name="具体风险"/>
    <x:tableColumn id="14" name="建议处理"/>
    <x:tableColumn id="15" name="证据与待测项"/>
    <x:tableColumn id="16" name="来源URL"/>
    <x:tableColumn id="17" name="完整任务ID"/>
  </x:tableColumns>
  <x:tableStyleInfo name="TableStyleMedium2" showFirstColumn="0" showLastColumn="0" showRowStripes="1" showColumnStripes="0"/>
</x:table>
</file>

<file path=xl/tables/table2.xml><?xml version="1.0" encoding="utf-8"?>
<x:table xmlns:x="http://schemas.openxmlformats.org/spreadsheetml/2006/main" id="2" name="SuitabilityCriteria" displayName="SuitabilityCriteria" ref="A5:E17" headerRowCount="1" totalsRowCount="0" totalsRowShown="0">
  <x:autoFilter ref="A5:E17"/>
  <x:tableColumns count="5">
    <x:tableColumn id="1" name="指标"/>
    <x:tableColumn id="2" name="定义与单位"/>
    <x:tableColumn id="3" name="测量方式"/>
    <x:tableColumn id="4" name="适合度判断"/>
    <x:tableColumn id="5" name="当前证据 / 所需补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f8dede42d94761" /></Relationships>
</file>

<file path=xl/worksheets/_rels/sheet2.xml.rels>&#65279;<?xml version="1.0" encoding="utf-8"?><Relationships xmlns="http://schemas.openxmlformats.org/package/2006/relationships"><Relationship Type="http://schemas.openxmlformats.org/officeDocument/2006/relationships/table" Target="/xl/tables/table1.xml" Id="Rd32d54b4102841bd" /></Relationships>
</file>

<file path=xl/worksheets/_rels/sheet3.xml.rels>&#65279;<?xml version="1.0" encoding="utf-8"?><Relationships xmlns="http://schemas.openxmlformats.org/package/2006/relationships"><Relationship Type="http://schemas.openxmlformats.org/officeDocument/2006/relationships/table" Target="/xl/tables/table2.xml" Id="Rdbcb082e88ca43f7" /></Relationships>
</file>

<file path=xl/worksheets/sheet1.xml><?xml version="1.0" encoding="utf-8"?>
<x:worksheet xmlns:x="http://schemas.openxmlformats.org/spreadsheetml/2006/main">
  <x:sheetPr>
    <x:tabColor rgb="FF26374A"/>
  </x:sheetPr>
  <x:sheetViews>
    <x:sheetView showGridLines="0" workbookViewId="0"/>
  </x:sheetViews>
  <x:sheetFormatPr defaultRowHeight="15"/>
  <x:cols>
    <x:col min="1" max="1" width="2.440000057220459" hidden="0" customWidth="1"/>
    <x:col min="2" max="2" width="31.110000610351562" hidden="0" customWidth="1"/>
    <x:col min="3" max="3" width="9.779999732971191" hidden="0" customWidth="1"/>
    <x:col min="4" max="4" width="10.220000267028809" hidden="0" customWidth="1"/>
    <x:col min="5" max="5" width="2.890000104904175"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2.6700000762939453" hidden="0" customWidth="1"/>
  </x:cols>
  <x:sheetData>
    <x:row r="1" ht="20" customHeight="1">
      <x:c r="A1" s="2"/>
      <x:c r="B1" s="2"/>
      <x:c r="C1" s="2"/>
      <x:c r="D1" s="2"/>
      <x:c r="E1" s="2"/>
      <x:c r="F1" s="2"/>
      <x:c r="G1" s="2"/>
      <x:c r="H1" s="2"/>
      <x:c r="I1" s="2"/>
      <x:c r="J1" s="2"/>
      <x:c r="K1" s="2"/>
      <x:c r="L1" s="2"/>
      <x:c r="M1" s="2"/>
      <x:c r="N1" s="2"/>
    </x:row>
    <x:row r="2" ht="28" customHeight="1">
      <x:c r="A2" s="2"/>
      <x:c r="B2" s="3" t="str">
        <x:v>Explore to Achieve</x:v>
      </x:c>
      <x:c r="C2" s="2"/>
      <x:c r="D2" s="2"/>
      <x:c r="E2" s="2"/>
      <x:c r="F2" s="2"/>
      <x:c r="G2" s="2"/>
      <x:c r="H2" s="2"/>
      <x:c r="I2" s="2"/>
      <x:c r="J2" s="2"/>
      <x:c r="K2" s="2"/>
      <x:c r="L2" s="2"/>
      <x:c r="M2" s="2"/>
      <x:c r="N2" s="2"/>
    </x:row>
    <x:row r="3" ht="20" customHeight="1">
      <x:c r="A3" s="2"/>
      <x:c r="B3" s="4" t="str">
        <x:v>场景适合度与任务分布审查（2026-10-22）</x:v>
      </x:c>
      <x:c r="C3" s="2"/>
      <x:c r="D3" s="2"/>
      <x:c r="E3" s="2"/>
      <x:c r="F3" s="2"/>
      <x:c r="G3" s="2"/>
      <x:c r="H3" s="2"/>
      <x:c r="I3" s="2"/>
      <x:c r="J3" s="2"/>
      <x:c r="K3" s="2"/>
      <x:c r="L3" s="2"/>
      <x:c r="M3" s="2"/>
      <x:c r="N3" s="2"/>
    </x:row>
    <x:row r="4" ht="20" customHeight="1">
      <x:c r="A4" s="2"/>
      <x:c r="B4" s="32"/>
      <x:c r="C4" s="32"/>
      <x:c r="D4" s="32"/>
      <x:c r="E4" s="32"/>
      <x:c r="F4" s="32"/>
      <x:c r="G4" s="32"/>
      <x:c r="H4" s="32"/>
      <x:c r="I4" s="32"/>
      <x:c r="J4" s="32"/>
      <x:c r="K4" s="32"/>
      <x:c r="L4" s="32"/>
      <x:c r="M4" s="32"/>
      <x:c r="N4" s="2"/>
    </x:row>
    <x:row r="5" ht="20" customHeight="1">
      <x:c r="A5" s="2"/>
      <x:c r="B5" s="2"/>
      <x:c r="C5" s="2"/>
      <x:c r="D5" s="2"/>
      <x:c r="E5" s="2"/>
      <x:c r="F5" s="2"/>
      <x:c r="G5" s="2"/>
      <x:c r="H5" s="2"/>
      <x:c r="I5" s="2"/>
      <x:c r="J5" s="2"/>
      <x:c r="K5" s="2"/>
      <x:c r="L5" s="2"/>
      <x:c r="M5" s="2"/>
      <x:c r="N5" s="2"/>
    </x:row>
    <x:row r="6" ht="30" customHeight="1">
      <x:c r="A6" s="2"/>
      <x:c r="B6" s="9" t="str">
        <x:v>候选规模</x:v>
      </x:c>
      <x:c r="C6" s="11" t="str">
        <x:v>任务数</x:v>
      </x:c>
      <x:c r="D6" s="2"/>
      <x:c r="E6" s="2"/>
      <x:c r="F6" s="38" t="str">
        <x:v>审查边界</x:v>
      </x:c>
      <x:c r="G6" s="2"/>
      <x:c r="H6" s="2"/>
      <x:c r="I6" s="2"/>
      <x:c r="J6" s="2"/>
      <x:c r="K6" s="2"/>
      <x:c r="L6" s="2"/>
      <x:c r="M6" s="2"/>
      <x:c r="N6" s="2"/>
    </x:row>
    <x:row r="7" ht="20" customHeight="1">
      <x:c r="A7" s="2"/>
      <x:c r="B7" s="2" t="str">
        <x:v>现有任务（含留档）</x:v>
      </x:c>
      <x:c r="C7" s="33" t="n">
        <x:f>COUNTIFS('Tasks'!$C$6:$C$69,"现有候选／待运行认证")+COUNTIFS('Tasks'!$C$6:$C$69,"替换留档／不计61")</x:f>
        <x:v>51</x:v>
      </x:c>
      <x:c r="D7" s="2"/>
      <x:c r="E7" s="2"/>
      <x:c r="F7" s="4" t="str">
        <x:v>61 = 51 − 3 + 13；净增10个任务。</x:v>
      </x:c>
      <x:c r="G7" s="4"/>
      <x:c r="H7" s="4"/>
      <x:c r="I7" s="4"/>
      <x:c r="J7" s="4"/>
      <x:c r="K7" s="4"/>
      <x:c r="L7" s="4"/>
      <x:c r="M7" s="4"/>
      <x:c r="N7" s="2"/>
    </x:row>
    <x:row r="8" ht="20" customHeight="1">
      <x:c r="A8" s="2"/>
      <x:c r="B8" s="2" t="str">
        <x:v>旧Size替换留档</x:v>
      </x:c>
      <x:c r="C8" s="33" t="n">
        <x:f>COUNTIFS('Tasks'!$C$6:$C$69,"替换留档／不计61")</x:f>
        <x:v>3</x:v>
      </x:c>
      <x:c r="D8" s="2"/>
      <x:c r="E8" s="2"/>
      <x:c r="F8" s="4" t="str">
        <x:v>新增13个方案尚未实现，不代表已通过物理验证。</x:v>
      </x:c>
      <x:c r="G8" s="4"/>
      <x:c r="H8" s="4"/>
      <x:c r="I8" s="4"/>
      <x:c r="J8" s="4"/>
      <x:c r="K8" s="4"/>
      <x:c r="L8" s="4"/>
      <x:c r="M8" s="4"/>
      <x:c r="N8" s="2"/>
    </x:row>
    <x:row r="9" ht="20" customHeight="1">
      <x:c r="A9" s="2"/>
      <x:c r="B9" s="2" t="str">
        <x:v>新增设计</x:v>
      </x:c>
      <x:c r="C9" s="33" t="n">
        <x:f>COUNTIFS('Tasks'!$C$6:$C$69,"新增方案／未实现")</x:f>
        <x:v>13</x:v>
      </x:c>
      <x:c r="D9" s="2"/>
      <x:c r="E9" s="2"/>
      <x:c r="F9" s="4" t="str">
        <x:v>面积、可达性、抓取与完整执行均按证据单独标注。</x:v>
      </x:c>
      <x:c r="G9" s="4"/>
      <x:c r="H9" s="4"/>
      <x:c r="I9" s="4"/>
      <x:c r="J9" s="4"/>
      <x:c r="K9" s="4"/>
      <x:c r="L9" s="4"/>
      <x:c r="M9" s="4"/>
      <x:c r="N9" s="2"/>
    </x:row>
    <x:row r="10" ht="20" customHeight="1">
      <x:c r="A10" s="2"/>
      <x:c r="B10" s="36" t="str">
        <x:v>拟候选任务</x:v>
      </x:c>
      <x:c r="C10" s="37" t="n">
        <x:f>COUNTIF('Tasks'!$B$6:$B$69,"是")</x:f>
        <x:v>61</x:v>
      </x:c>
      <x:c r="D10" s="2"/>
      <x:c r="E10" s="2"/>
      <x:c r="F10" s="4" t="str">
        <x:v>本轮为代码与既有记录审查，未运行新的GPU实验。</x:v>
      </x:c>
      <x:c r="G10" s="4"/>
      <x:c r="H10" s="4"/>
      <x:c r="I10" s="4"/>
      <x:c r="J10" s="4"/>
      <x:c r="K10" s="4"/>
      <x:c r="L10" s="4"/>
      <x:c r="M10" s="4"/>
      <x:c r="N10" s="2"/>
    </x:row>
    <x:row r="11" ht="20" customHeight="1">
      <x:c r="A11" s="2"/>
      <x:c r="B11" s="2" t="str">
        <x:v>全部审查记录</x:v>
      </x:c>
      <x:c r="C11" s="33" t="n">
        <x:f>COUNTA('Tasks'!$A$6:$A$69)</x:f>
        <x:v>64</x:v>
      </x:c>
      <x:c r="D11" s="2"/>
      <x:c r="E11" s="2"/>
      <x:c r="F11" s="4" t="str">
        <x:v>“待测”表示数据缺失，不按0计入几何或物理判断。</x:v>
      </x:c>
      <x:c r="G11" s="4"/>
      <x:c r="H11" s="4"/>
      <x:c r="I11" s="4"/>
      <x:c r="J11" s="4"/>
      <x:c r="K11" s="4"/>
      <x:c r="L11" s="4"/>
      <x:c r="M11" s="4"/>
      <x:c r="N11" s="2"/>
    </x:row>
    <x:row r="12" ht="20" customHeight="1">
      <x:c r="A12" s="2"/>
      <x:c r="B12" s="2"/>
      <x:c r="C12" s="2"/>
      <x:c r="D12" s="2"/>
      <x:c r="E12" s="2"/>
      <x:c r="F12" s="2"/>
      <x:c r="G12" s="2"/>
      <x:c r="H12" s="2"/>
      <x:c r="I12" s="2"/>
      <x:c r="J12" s="2"/>
      <x:c r="K12" s="2"/>
      <x:c r="L12" s="2"/>
      <x:c r="M12" s="2"/>
      <x:c r="N12" s="2"/>
    </x:row>
    <x:row r="13" ht="20" customHeight="1">
      <x:c r="A13" s="2"/>
      <x:c r="B13" s="2"/>
      <x:c r="C13" s="2"/>
      <x:c r="D13" s="2"/>
      <x:c r="E13" s="2"/>
      <x:c r="F13" s="2"/>
      <x:c r="G13" s="2"/>
      <x:c r="H13" s="2"/>
      <x:c r="I13" s="2"/>
      <x:c r="J13" s="2"/>
      <x:c r="K13" s="2"/>
      <x:c r="L13" s="2"/>
      <x:c r="M13" s="2"/>
      <x:c r="N13" s="2"/>
    </x:row>
    <x:row r="14" ht="30" customHeight="1">
      <x:c r="A14" s="2"/>
      <x:c r="B14" s="9" t="str">
        <x:v>主要任务目标分类</x:v>
      </x:c>
      <x:c r="C14" s="10" t="str">
        <x:v>任务数</x:v>
      </x:c>
      <x:c r="D14" s="11" t="str">
        <x:v>占比</x:v>
      </x:c>
      <x:c r="E14" s="2"/>
      <x:c r="F14" s="2"/>
      <x:c r="G14" s="2"/>
      <x:c r="H14" s="2"/>
      <x:c r="I14" s="2"/>
      <x:c r="J14" s="2"/>
      <x:c r="K14" s="2"/>
      <x:c r="L14" s="2"/>
      <x:c r="M14" s="2"/>
      <x:c r="N14" s="2"/>
    </x:row>
    <x:row r="15" ht="30" customHeight="1">
      <x:c r="A15" s="2"/>
      <x:c r="B15" s="12" t="str">
        <x:v>Physical Construction &amp; Experimentation</x:v>
      </x:c>
      <x:c r="C15" s="33" t="n">
        <x:f>COUNTIFS('Tasks'!$H$6:$H$69,B15,'Tasks'!$B$6:$B$69,"是")</x:f>
        <x:v>10</x:v>
      </x:c>
      <x:c r="D15" s="39" t="n">
        <x:f>C15/$C$10</x:f>
        <x:v>0.16393442622950818</x:v>
      </x:c>
      <x:c r="E15" s="2"/>
      <x:c r="F15" s="2"/>
      <x:c r="G15" s="2"/>
      <x:c r="H15" s="2"/>
      <x:c r="I15" s="2"/>
      <x:c r="J15" s="2"/>
      <x:c r="K15" s="2"/>
      <x:c r="L15" s="2"/>
      <x:c r="M15" s="2"/>
      <x:c r="N15" s="2"/>
    </x:row>
    <x:row r="16" ht="30" customHeight="1">
      <x:c r="A16" s="2"/>
      <x:c r="B16" s="12" t="str">
        <x:v>Spatial Exploration &amp; Navigation</x:v>
      </x:c>
      <x:c r="C16" s="33" t="n">
        <x:f>COUNTIFS('Tasks'!$H$6:$H$69,B16,'Tasks'!$B$6:$B$69,"是")</x:f>
        <x:v>8</x:v>
      </x:c>
      <x:c r="D16" s="39" t="n">
        <x:f>C16/$C$10</x:f>
        <x:v>0.13114754098360656</x:v>
      </x:c>
      <x:c r="E16" s="2"/>
      <x:c r="F16" s="2"/>
      <x:c r="G16" s="2"/>
      <x:c r="H16" s="2"/>
      <x:c r="I16" s="2"/>
      <x:c r="J16" s="2"/>
      <x:c r="K16" s="2"/>
      <x:c r="L16" s="2"/>
      <x:c r="M16" s="2"/>
      <x:c r="N16" s="2"/>
    </x:row>
    <x:row r="17" ht="30" customHeight="1">
      <x:c r="A17" s="2"/>
      <x:c r="B17" s="12" t="str">
        <x:v>Geometric Feasibility &amp; Containment</x:v>
      </x:c>
      <x:c r="C17" s="33" t="n">
        <x:f>COUNTIFS('Tasks'!$H$6:$H$69,B17,'Tasks'!$B$6:$B$69,"是")</x:f>
        <x:v>10</x:v>
      </x:c>
      <x:c r="D17" s="39" t="n">
        <x:f>C17/$C$10</x:f>
        <x:v>0.16393442622950818</x:v>
      </x:c>
      <x:c r="E17" s="2"/>
      <x:c r="F17" s="2"/>
      <x:c r="G17" s="2"/>
      <x:c r="H17" s="2"/>
      <x:c r="I17" s="2"/>
      <x:c r="J17" s="2"/>
      <x:c r="K17" s="2"/>
      <x:c r="L17" s="2"/>
      <x:c r="M17" s="2"/>
      <x:c r="N17" s="2"/>
    </x:row>
    <x:row r="18" ht="30" customHeight="1">
      <x:c r="A18" s="2"/>
      <x:c r="B18" s="12" t="str">
        <x:v>Spatial Reconfiguration</x:v>
      </x:c>
      <x:c r="C18" s="33" t="n">
        <x:f>COUNTIFS('Tasks'!$H$6:$H$69,B18,'Tasks'!$B$6:$B$69,"是")</x:f>
        <x:v>14</x:v>
      </x:c>
      <x:c r="D18" s="39" t="n">
        <x:f>C18/$C$10</x:f>
        <x:v>0.22950819672131148</x:v>
      </x:c>
      <x:c r="E18" s="2"/>
      <x:c r="F18" s="2"/>
      <x:c r="G18" s="2"/>
      <x:c r="H18" s="2"/>
      <x:c r="I18" s="2"/>
      <x:c r="J18" s="2"/>
      <x:c r="K18" s="2"/>
      <x:c r="L18" s="2"/>
      <x:c r="M18" s="2"/>
      <x:c r="N18" s="2"/>
    </x:row>
    <x:row r="19" ht="30" customHeight="1">
      <x:c r="A19" s="2"/>
      <x:c r="B19" s="12" t="str">
        <x:v>Embodied Grounding</x:v>
      </x:c>
      <x:c r="C19" s="33" t="n">
        <x:f>COUNTIFS('Tasks'!$H$6:$H$69,B19,'Tasks'!$B$6:$B$69,"是")</x:f>
        <x:v>11</x:v>
      </x:c>
      <x:c r="D19" s="39" t="n">
        <x:f>C19/$C$10</x:f>
        <x:v>0.18032786885245902</x:v>
      </x:c>
      <x:c r="E19" s="2"/>
      <x:c r="F19" s="2"/>
      <x:c r="G19" s="2"/>
      <x:c r="H19" s="2"/>
      <x:c r="I19" s="2"/>
      <x:c r="J19" s="2"/>
      <x:c r="K19" s="2"/>
      <x:c r="L19" s="2"/>
      <x:c r="M19" s="2"/>
      <x:c r="N19" s="2"/>
    </x:row>
    <x:row r="20" ht="30" customHeight="1">
      <x:c r="A20" s="2"/>
      <x:c r="B20" s="12" t="str">
        <x:v>Memory &amp; State Revision</x:v>
      </x:c>
      <x:c r="C20" s="33" t="n">
        <x:f>COUNTIFS('Tasks'!$H$6:$H$69,B20,'Tasks'!$B$6:$B$69,"是")</x:f>
        <x:v>8</x:v>
      </x:c>
      <x:c r="D20" s="39" t="n">
        <x:f>C20/$C$10</x:f>
        <x:v>0.13114754098360656</x:v>
      </x:c>
      <x:c r="E20" s="2"/>
      <x:c r="F20" s="2"/>
      <x:c r="G20" s="2"/>
      <x:c r="H20" s="2"/>
      <x:c r="I20" s="2"/>
      <x:c r="J20" s="2"/>
      <x:c r="K20" s="2"/>
      <x:c r="L20" s="2"/>
      <x:c r="M20" s="2"/>
      <x:c r="N20" s="2"/>
    </x:row>
    <x:row r="21" ht="20" customHeight="1">
      <x:c r="A21" s="2"/>
      <x:c r="B21" s="36" t="str">
        <x:v>合计</x:v>
      </x:c>
      <x:c r="C21" s="36" t="n">
        <x:f>SUM(C15:C20)</x:f>
        <x:v>61</x:v>
      </x:c>
      <x:c r="D21" s="41" t="n">
        <x:f>SUM(D15:D20)</x:f>
        <x:v>1</x:v>
      </x:c>
      <x:c r="E21" s="2"/>
      <x:c r="F21" s="2"/>
      <x:c r="G21" s="2"/>
      <x:c r="H21" s="2"/>
      <x:c r="I21" s="2"/>
      <x:c r="J21" s="2"/>
      <x:c r="K21" s="2"/>
      <x:c r="L21" s="2"/>
      <x:c r="M21" s="2"/>
      <x:c r="N21" s="2"/>
    </x:row>
    <x:row r="22" ht="20" customHeight="1">
      <x:c r="A22" s="2"/>
      <x:c r="B22" s="2"/>
      <x:c r="C22" s="2"/>
      <x:c r="D22" s="2"/>
      <x:c r="E22" s="2"/>
      <x:c r="F22" s="2"/>
      <x:c r="G22" s="2"/>
      <x:c r="H22" s="2"/>
      <x:c r="I22" s="2"/>
      <x:c r="J22" s="2"/>
      <x:c r="K22" s="2"/>
      <x:c r="L22" s="2"/>
      <x:c r="M22" s="2"/>
      <x:c r="N22" s="2"/>
    </x:row>
    <x:row r="23" ht="20" customHeight="1">
      <x:c r="A23" s="2"/>
      <x:c r="B23" s="4" t="str">
        <x:v>每项仅分配一个主要任务目标分类。</x:v>
      </x:c>
      <x:c r="C23" s="4"/>
      <x:c r="D23" s="4"/>
      <x:c r="E23" s="2"/>
      <x:c r="F23" s="2"/>
      <x:c r="G23" s="2"/>
      <x:c r="H23" s="2"/>
      <x:c r="I23" s="2"/>
      <x:c r="J23" s="2"/>
      <x:c r="K23" s="2"/>
      <x:c r="L23" s="2"/>
      <x:c r="M23" s="2"/>
      <x:c r="N23" s="2"/>
    </x:row>
    <x:row r="24" ht="20" customHeight="1">
      <x:c r="A24" s="2"/>
      <x:c r="B24" s="4" t="str">
        <x:v>这不是六种互斥的认知能力。</x:v>
      </x:c>
      <x:c r="C24" s="4"/>
      <x:c r="D24" s="4"/>
      <x:c r="E24" s="2"/>
      <x:c r="F24" s="2"/>
      <x:c r="G24" s="2"/>
      <x:c r="H24" s="2"/>
      <x:c r="I24" s="2"/>
      <x:c r="J24" s="2"/>
      <x:c r="K24" s="2"/>
      <x:c r="L24" s="2"/>
      <x:c r="M24" s="2"/>
      <x:c r="N24" s="2"/>
    </x:row>
    <x:row r="25" ht="20" customHeight="1">
      <x:c r="A25" s="2"/>
      <x:c r="B25" s="4"/>
      <x:c r="C25" s="4"/>
      <x:c r="D25" s="4"/>
      <x:c r="E25" s="2"/>
      <x:c r="F25" s="2"/>
      <x:c r="G25" s="2"/>
      <x:c r="H25" s="2"/>
      <x:c r="I25" s="2"/>
      <x:c r="J25" s="2"/>
      <x:c r="K25" s="2"/>
      <x:c r="L25" s="2"/>
      <x:c r="M25" s="2"/>
      <x:c r="N25" s="2"/>
    </x:row>
    <x:row r="26" ht="20" customHeight="1">
      <x:c r="A26" s="2"/>
      <x:c r="B26" s="4" t="str">
        <x:v>探索、记忆、推理与操作应另作机制标签。</x:v>
      </x:c>
      <x:c r="C26" s="4"/>
      <x:c r="D26" s="4"/>
      <x:c r="E26" s="2"/>
      <x:c r="F26" s="2"/>
      <x:c r="G26" s="2"/>
      <x:c r="H26" s="2"/>
      <x:c r="I26" s="2"/>
      <x:c r="J26" s="2"/>
      <x:c r="K26" s="2"/>
      <x:c r="L26" s="2"/>
      <x:c r="M26" s="2"/>
      <x:c r="N26" s="2"/>
    </x:row>
    <x:row r="27" ht="20" customHeight="1">
      <x:c r="A27" s="2"/>
      <x:c r="B27" s="2"/>
      <x:c r="C27" s="2"/>
      <x:c r="D27" s="2"/>
      <x:c r="E27" s="2"/>
      <x:c r="F27" s="2"/>
      <x:c r="G27" s="2"/>
      <x:c r="H27" s="2"/>
      <x:c r="I27" s="2"/>
      <x:c r="J27" s="2"/>
      <x:c r="K27" s="2"/>
      <x:c r="L27" s="2"/>
      <x:c r="M27" s="2"/>
      <x:c r="N27" s="2"/>
    </x:row>
    <x:row r="28" ht="20" customHeight="1">
      <x:c r="A28" s="2"/>
      <x:c r="B28" s="2"/>
      <x:c r="C28" s="2"/>
      <x:c r="D28" s="2"/>
      <x:c r="E28" s="2"/>
      <x:c r="F28" s="2"/>
      <x:c r="G28" s="2"/>
      <x:c r="H28" s="2"/>
      <x:c r="I28" s="2"/>
      <x:c r="J28" s="2"/>
      <x:c r="K28" s="2"/>
      <x:c r="L28" s="2"/>
      <x:c r="M28" s="2"/>
      <x:c r="N28" s="2"/>
    </x:row>
    <x:row r="29" ht="20" customHeight="1">
      <x:c r="A29" s="2"/>
      <x:c r="B29" s="2"/>
      <x:c r="C29" s="2"/>
      <x:c r="D29" s="2"/>
      <x:c r="E29" s="2"/>
      <x:c r="F29" s="2"/>
      <x:c r="G29" s="2"/>
      <x:c r="H29" s="2"/>
      <x:c r="I29" s="2"/>
      <x:c r="J29" s="2"/>
      <x:c r="K29" s="2"/>
      <x:c r="L29" s="2"/>
      <x:c r="M29" s="2"/>
      <x:c r="N29" s="2"/>
    </x:row>
    <x:row r="30" ht="20" customHeight="1">
      <x:c r="A30" s="2"/>
      <x:c r="B30" s="2"/>
      <x:c r="C30" s="2"/>
      <x:c r="D30" s="2"/>
      <x:c r="E30" s="2"/>
      <x:c r="F30" s="2"/>
      <x:c r="G30" s="2"/>
      <x:c r="H30" s="2"/>
      <x:c r="I30" s="2"/>
      <x:c r="J30" s="2"/>
      <x:c r="K30" s="2"/>
      <x:c r="L30" s="2"/>
      <x:c r="M30" s="2"/>
      <x:c r="N30" s="2"/>
    </x:row>
    <x:row r="31" ht="20" customHeight="1">
      <x:c r="A31" s="2"/>
      <x:c r="B31" s="2"/>
      <x:c r="C31" s="2"/>
      <x:c r="D31" s="2"/>
      <x:c r="E31" s="2"/>
      <x:c r="F31" s="2"/>
      <x:c r="G31" s="2"/>
      <x:c r="H31" s="2"/>
      <x:c r="I31" s="2"/>
      <x:c r="J31" s="2"/>
      <x:c r="K31" s="2"/>
      <x:c r="L31" s="2"/>
      <x:c r="M31" s="2"/>
      <x:c r="N31" s="2"/>
    </x:row>
    <x:row r="32" ht="30" customHeight="1">
      <x:c r="A32" s="2"/>
      <x:c r="B32" s="9" t="str">
        <x:v>场景分布（现有51项）</x:v>
      </x:c>
      <x:c r="C32" s="10" t="str">
        <x:v>任务数</x:v>
      </x:c>
      <x:c r="D32" s="11" t="str">
        <x:v>占比</x:v>
      </x:c>
      <x:c r="E32" s="2"/>
      <x:c r="F32" s="38" t="str">
        <x:v>场景集中度</x:v>
      </x:c>
      <x:c r="G32" s="2"/>
      <x:c r="H32" s="2"/>
      <x:c r="I32" s="2"/>
      <x:c r="J32" s="2"/>
      <x:c r="K32" s="2"/>
      <x:c r="L32" s="2"/>
      <x:c r="M32" s="2"/>
      <x:c r="N32" s="2"/>
    </x:row>
    <x:row r="33" ht="24" customHeight="1">
      <x:c r="A33" s="2"/>
      <x:c r="B33" s="2" t="str">
        <x:v>house_single_floor</x:v>
      </x:c>
      <x:c r="C33" s="33" t="n">
        <x:f>COUNTIFS('Tasks'!$D$6:$D$69,B33,'Tasks'!$C$6:$C$69,"现有候选／待运行认证")+COUNTIFS('Tasks'!$D$6:$D$69,B33,'Tasks'!$C$6:$C$69,"替换留档／不计61")</x:f>
        <x:v>16</x:v>
      </x:c>
      <x:c r="D33" s="39" t="n">
        <x:f>C33/$C$7</x:f>
        <x:v>0.3137254901960784</x:v>
      </x:c>
      <x:c r="E33" s="2"/>
      <x:c r="F33" s="2" t="str">
        <x:v>17个已配置 scene_id；含3个待替换Size，排除新增13项。</x:v>
      </x:c>
      <x:c r="G33" s="2"/>
      <x:c r="H33" s="2"/>
      <x:c r="I33" s="2"/>
      <x:c r="J33" s="2"/>
      <x:c r="K33" s="2"/>
      <x:c r="L33" s="2"/>
      <x:c r="M33" s="2"/>
      <x:c r="N33" s="2"/>
    </x:row>
    <x:row r="34" ht="24" customHeight="1">
      <x:c r="A34" s="2"/>
      <x:c r="B34" s="2" t="str">
        <x:v>Beechwood_0_garden</x:v>
      </x:c>
      <x:c r="C34" s="33" t="n">
        <x:f>COUNTIFS('Tasks'!$D$6:$D$69,B34,'Tasks'!$C$6:$C$69,"现有候选／待运行认证")+COUNTIFS('Tasks'!$D$6:$D$69,B34,'Tasks'!$C$6:$C$69,"替换留档／不计61")</x:f>
        <x:v>6</x:v>
      </x:c>
      <x:c r="D34" s="39" t="n">
        <x:f>C34/$C$7</x:f>
        <x:v>0.11764705882352941</x:v>
      </x:c>
      <x:c r="E34" s="2"/>
      <x:c r="F34" s="2" t="str">
        <x:v>前3场景占比</x:v>
      </x:c>
      <x:c r="G34" s="2"/>
      <x:c r="H34" s="2"/>
      <x:c r="I34" s="2"/>
      <x:c r="J34" s="39" t="n">
        <x:f>SUM(C33:C35)/$C$7</x:f>
        <x:v>0.5294117647058824</x:v>
      </x:c>
      <x:c r="K34" s="2"/>
      <x:c r="L34" s="2"/>
      <x:c r="M34" s="2"/>
      <x:c r="N34" s="2"/>
    </x:row>
    <x:row r="35" ht="24" customHeight="1">
      <x:c r="A35" s="2"/>
      <x:c r="B35" s="2" t="str">
        <x:v>Beechwood_0_int</x:v>
      </x:c>
      <x:c r="C35" s="33" t="n">
        <x:f>COUNTIFS('Tasks'!$D$6:$D$69,B35,'Tasks'!$C$6:$C$69,"现有候选／待运行认证")+COUNTIFS('Tasks'!$D$6:$D$69,B35,'Tasks'!$C$6:$C$69,"替换留档／不计61")</x:f>
        <x:v>5</x:v>
      </x:c>
      <x:c r="D35" s="39" t="n">
        <x:f>C35/$C$7</x:f>
        <x:v>0.09803921568627451</x:v>
      </x:c>
      <x:c r="E35" s="2"/>
      <x:c r="F35" s="2"/>
      <x:c r="G35" s="2"/>
      <x:c r="H35" s="2"/>
      <x:c r="I35" s="2"/>
      <x:c r="J35" s="2"/>
      <x:c r="K35" s="2"/>
      <x:c r="L35" s="2"/>
      <x:c r="M35" s="2"/>
      <x:c r="N35" s="2"/>
    </x:row>
    <x:row r="36" ht="24" customHeight="1">
      <x:c r="A36" s="2"/>
      <x:c r="B36" s="2" t="str">
        <x:v>hall_arch_wood</x:v>
      </x:c>
      <x:c r="C36" s="33" t="n">
        <x:f>COUNTIFS('Tasks'!$D$6:$D$69,B36,'Tasks'!$C$6:$C$69,"现有候选／待运行认证")+COUNTIFS('Tasks'!$D$6:$D$69,B36,'Tasks'!$C$6:$C$69,"替换留档／不计61")</x:f>
        <x:v>4</x:v>
      </x:c>
      <x:c r="D36" s="39" t="n">
        <x:f>C36/$C$7</x:f>
        <x:v>0.0784313725490196</x:v>
      </x:c>
      <x:c r="E36" s="2"/>
      <x:c r="F36" s="4" t="str">
        <x:v>house_single_floor：16 / 51 = 31.4%。</x:v>
      </x:c>
      <x:c r="G36" s="4"/>
      <x:c r="H36" s="4"/>
      <x:c r="I36" s="4"/>
      <x:c r="J36" s="4"/>
      <x:c r="K36" s="4"/>
      <x:c r="L36" s="4"/>
      <x:c r="M36" s="4"/>
      <x:c r="N36" s="2"/>
    </x:row>
    <x:row r="37" ht="24" customHeight="1">
      <x:c r="A37" s="2"/>
      <x:c r="B37" s="2" t="str">
        <x:v>Merom_0_garden</x:v>
      </x:c>
      <x:c r="C37" s="33" t="n">
        <x:f>COUNTIFS('Tasks'!$D$6:$D$69,B37,'Tasks'!$C$6:$C$69,"现有候选／待运行认证")+COUNTIFS('Tasks'!$D$6:$D$69,B37,'Tasks'!$C$6:$C$69,"替换留档／不计61")</x:f>
        <x:v>3</x:v>
      </x:c>
      <x:c r="D37" s="39" t="n">
        <x:f>C37/$C$7</x:f>
        <x:v>0.058823529411764705</x:v>
      </x:c>
      <x:c r="E37" s="2"/>
      <x:c r="F37" s="4" t="str">
        <x:v>新增5个Size的具体场景尚未锁定，预选文字不计作新scene_id。</x:v>
      </x:c>
      <x:c r="G37" s="4"/>
      <x:c r="H37" s="4"/>
      <x:c r="I37" s="4"/>
      <x:c r="J37" s="4"/>
      <x:c r="K37" s="4"/>
      <x:c r="L37" s="4"/>
      <x:c r="M37" s="4"/>
      <x:c r="N37" s="2"/>
    </x:row>
    <x:row r="38" ht="24" customHeight="1">
      <x:c r="A38" s="2"/>
      <x:c r="B38" s="2" t="str">
        <x:v>office_cubicles_left</x:v>
      </x:c>
      <x:c r="C38" s="33" t="n">
        <x:f>COUNTIFS('Tasks'!$D$6:$D$69,B38,'Tasks'!$C$6:$C$69,"现有候选／待运行认证")+COUNTIFS('Tasks'!$D$6:$D$69,B38,'Tasks'!$C$6:$C$69,"替换留档／不计61")</x:f>
        <x:v>3</x:v>
      </x:c>
      <x:c r="D38" s="39" t="n">
        <x:f>C38/$C$7</x:f>
        <x:v>0.058823529411764705</x:v>
      </x:c>
      <x:c r="E38" s="2"/>
      <x:c r="F38" s="4" t="str">
        <x:v>同一建筑、布局或房间的变体，不是独立的空间泛化证据。</x:v>
      </x:c>
      <x:c r="G38" s="4"/>
      <x:c r="H38" s="4"/>
      <x:c r="I38" s="4"/>
      <x:c r="J38" s="4"/>
      <x:c r="K38" s="4"/>
      <x:c r="L38" s="4"/>
      <x:c r="M38" s="4"/>
      <x:c r="N38" s="2"/>
    </x:row>
    <x:row r="39" ht="24" customHeight="1">
      <x:c r="A39" s="2"/>
      <x:c r="B39" s="2" t="str">
        <x:v>office_cubicles_right</x:v>
      </x:c>
      <x:c r="C39" s="33" t="n">
        <x:f>COUNTIFS('Tasks'!$D$6:$D$69,B39,'Tasks'!$C$6:$C$69,"现有候选／待运行认证")+COUNTIFS('Tasks'!$D$6:$D$69,B39,'Tasks'!$C$6:$C$69,"替换留档／不计61")</x:f>
        <x:v>2</x:v>
      </x:c>
      <x:c r="D39" s="39" t="n">
        <x:f>C39/$C$7</x:f>
        <x:v>0.0392156862745098</x:v>
      </x:c>
      <x:c r="E39" s="2"/>
      <x:c r="F39" s="4"/>
      <x:c r="G39" s="4"/>
      <x:c r="H39" s="4"/>
      <x:c r="I39" s="4"/>
      <x:c r="J39" s="4"/>
      <x:c r="K39" s="4"/>
      <x:c r="L39" s="4"/>
      <x:c r="M39" s="4"/>
      <x:c r="N39" s="2"/>
    </x:row>
    <x:row r="40" ht="24" customHeight="1">
      <x:c r="A40" s="2"/>
      <x:c r="B40" s="2" t="str">
        <x:v>restaurant_cafeteria</x:v>
      </x:c>
      <x:c r="C40" s="33" t="n">
        <x:f>COUNTIFS('Tasks'!$D$6:$D$69,B40,'Tasks'!$C$6:$C$69,"现有候选／待运行认证")+COUNTIFS('Tasks'!$D$6:$D$69,B40,'Tasks'!$C$6:$C$69,"替换留档／不计61")</x:f>
        <x:v>2</x:v>
      </x:c>
      <x:c r="D40" s="39" t="n">
        <x:f>C40/$C$7</x:f>
        <x:v>0.0392156862745098</x:v>
      </x:c>
      <x:c r="E40" s="2"/>
      <x:c r="F40" s="4" t="str">
        <x:v>场景适合度指标与测量方式见 Criteria。</x:v>
      </x:c>
      <x:c r="G40" s="4"/>
      <x:c r="H40" s="4"/>
      <x:c r="I40" s="4"/>
      <x:c r="J40" s="4"/>
      <x:c r="K40" s="4"/>
      <x:c r="L40" s="4"/>
      <x:c r="M40" s="4"/>
      <x:c r="N40" s="2"/>
    </x:row>
    <x:row r="41" ht="24" customHeight="1">
      <x:c r="A41" s="2"/>
      <x:c r="B41" s="2" t="str">
        <x:v>school_gym</x:v>
      </x:c>
      <x:c r="C41" s="33" t="n">
        <x:f>COUNTIFS('Tasks'!$D$6:$D$69,B41,'Tasks'!$C$6:$C$69,"现有候选／待运行认证")+COUNTIFS('Tasks'!$D$6:$D$69,B41,'Tasks'!$C$6:$C$69,"替换留档／不计61")</x:f>
        <x:v>2</x:v>
      </x:c>
      <x:c r="D41" s="39" t="n">
        <x:f>C41/$C$7</x:f>
        <x:v>0.0392156862745098</x:v>
      </x:c>
      <x:c r="E41" s="2"/>
      <x:c r="F41" s="4"/>
      <x:c r="G41" s="4"/>
      <x:c r="H41" s="4"/>
      <x:c r="I41" s="4"/>
      <x:c r="J41" s="4"/>
      <x:c r="K41" s="4"/>
      <x:c r="L41" s="4"/>
      <x:c r="M41" s="4"/>
      <x:c r="N41" s="2"/>
    </x:row>
    <x:row r="42" ht="24" customHeight="1">
      <x:c r="A42" s="2"/>
      <x:c r="B42" s="2" t="str">
        <x:v>Beechwood_1_int</x:v>
      </x:c>
      <x:c r="C42" s="33" t="n">
        <x:f>COUNTIFS('Tasks'!$D$6:$D$69,B42,'Tasks'!$C$6:$C$69,"现有候选／待运行认证")+COUNTIFS('Tasks'!$D$6:$D$69,B42,'Tasks'!$C$6:$C$69,"替换留档／不计61")</x:f>
        <x:v>1</x:v>
      </x:c>
      <x:c r="D42" s="39" t="n">
        <x:f>C42/$C$7</x:f>
        <x:v>0.0196078431372549</x:v>
      </x:c>
      <x:c r="E42" s="2"/>
      <x:c r="F42" s="4" t="str">
        <x:v>Tasks 的来源链接保留任务或源场景出处。</x:v>
      </x:c>
      <x:c r="G42" s="4"/>
      <x:c r="H42" s="4"/>
      <x:c r="I42" s="4"/>
      <x:c r="J42" s="4"/>
      <x:c r="K42" s="4"/>
      <x:c r="L42" s="4"/>
      <x:c r="M42" s="4"/>
      <x:c r="N42" s="2"/>
    </x:row>
    <x:row r="43" ht="24" customHeight="1">
      <x:c r="A43" s="2"/>
      <x:c r="B43" s="2" t="str">
        <x:v>house_double_floor_lower</x:v>
      </x:c>
      <x:c r="C43" s="33" t="n">
        <x:f>COUNTIFS('Tasks'!$D$6:$D$69,B43,'Tasks'!$C$6:$C$69,"现有候选／待运行认证")+COUNTIFS('Tasks'!$D$6:$D$69,B43,'Tasks'!$C$6:$C$69,"替换留档／不计61")</x:f>
        <x:v>1</x:v>
      </x:c>
      <x:c r="D43" s="39" t="n">
        <x:f>C43/$C$7</x:f>
        <x:v>0.0196078431372549</x:v>
      </x:c>
      <x:c r="E43" s="2"/>
      <x:c r="F43" s="2"/>
      <x:c r="G43" s="2"/>
      <x:c r="H43" s="2"/>
      <x:c r="I43" s="2"/>
      <x:c r="J43" s="2"/>
      <x:c r="K43" s="2"/>
      <x:c r="L43" s="2"/>
      <x:c r="M43" s="2"/>
      <x:c r="N43" s="2"/>
    </x:row>
    <x:row r="44" ht="24" customHeight="1">
      <x:c r="A44" s="2"/>
      <x:c r="B44" s="2" t="str">
        <x:v>house_double_floor_upper</x:v>
      </x:c>
      <x:c r="C44" s="33" t="n">
        <x:f>COUNTIFS('Tasks'!$D$6:$D$69,B44,'Tasks'!$C$6:$C$69,"现有候选／待运行认证")+COUNTIFS('Tasks'!$D$6:$D$69,B44,'Tasks'!$C$6:$C$69,"替换留档／不计61")</x:f>
        <x:v>1</x:v>
      </x:c>
      <x:c r="D44" s="39" t="n">
        <x:f>C44/$C$7</x:f>
        <x:v>0.0196078431372549</x:v>
      </x:c>
      <x:c r="E44" s="2"/>
      <x:c r="F44" s="2"/>
      <x:c r="G44" s="2"/>
      <x:c r="H44" s="2"/>
      <x:c r="I44" s="2"/>
      <x:c r="J44" s="2"/>
      <x:c r="K44" s="2"/>
      <x:c r="L44" s="2"/>
      <x:c r="M44" s="2"/>
      <x:c r="N44" s="2"/>
    </x:row>
    <x:row r="45" ht="24" customHeight="1">
      <x:c r="A45" s="2"/>
      <x:c r="B45" s="2" t="str">
        <x:v>Ihlen_1_int</x:v>
      </x:c>
      <x:c r="C45" s="33" t="n">
        <x:f>COUNTIFS('Tasks'!$D$6:$D$69,B45,'Tasks'!$C$6:$C$69,"现有候选／待运行认证")+COUNTIFS('Tasks'!$D$6:$D$69,B45,'Tasks'!$C$6:$C$69,"替换留档／不计61")</x:f>
        <x:v>1</x:v>
      </x:c>
      <x:c r="D45" s="39" t="n">
        <x:f>C45/$C$7</x:f>
        <x:v>0.0196078431372549</x:v>
      </x:c>
      <x:c r="E45" s="2"/>
      <x:c r="F45" s="2"/>
      <x:c r="G45" s="2"/>
      <x:c r="H45" s="2"/>
      <x:c r="I45" s="2"/>
      <x:c r="J45" s="2"/>
      <x:c r="K45" s="2"/>
      <x:c r="L45" s="2"/>
      <x:c r="M45" s="2"/>
      <x:c r="N45" s="2"/>
    </x:row>
    <x:row r="46" ht="24" customHeight="1">
      <x:c r="A46" s="2"/>
      <x:c r="B46" s="2" t="str">
        <x:v>restaurant_asian</x:v>
      </x:c>
      <x:c r="C46" s="33" t="n">
        <x:f>COUNTIFS('Tasks'!$D$6:$D$69,B46,'Tasks'!$C$6:$C$69,"现有候选／待运行认证")+COUNTIFS('Tasks'!$D$6:$D$69,B46,'Tasks'!$C$6:$C$69,"替换留档／不计61")</x:f>
        <x:v>1</x:v>
      </x:c>
      <x:c r="D46" s="39" t="n">
        <x:f>C46/$C$7</x:f>
        <x:v>0.0196078431372549</x:v>
      </x:c>
      <x:c r="E46" s="2"/>
      <x:c r="F46" s="2"/>
      <x:c r="G46" s="2"/>
      <x:c r="H46" s="2"/>
      <x:c r="I46" s="2"/>
      <x:c r="J46" s="2"/>
      <x:c r="K46" s="2"/>
      <x:c r="L46" s="2"/>
      <x:c r="M46" s="2"/>
      <x:c r="N46" s="2"/>
    </x:row>
    <x:row r="47" ht="24" customHeight="1">
      <x:c r="A47" s="2"/>
      <x:c r="B47" s="2" t="str">
        <x:v>restaurant_hotel</x:v>
      </x:c>
      <x:c r="C47" s="33" t="n">
        <x:f>COUNTIFS('Tasks'!$D$6:$D$69,B47,'Tasks'!$C$6:$C$69,"现有候选／待运行认证")+COUNTIFS('Tasks'!$D$6:$D$69,B47,'Tasks'!$C$6:$C$69,"替换留档／不计61")</x:f>
        <x:v>1</x:v>
      </x:c>
      <x:c r="D47" s="39" t="n">
        <x:f>C47/$C$7</x:f>
        <x:v>0.0196078431372549</x:v>
      </x:c>
      <x:c r="E47" s="2"/>
      <x:c r="F47" s="2"/>
      <x:c r="G47" s="2"/>
      <x:c r="H47" s="2"/>
      <x:c r="I47" s="2"/>
      <x:c r="J47" s="2"/>
      <x:c r="K47" s="2"/>
      <x:c r="L47" s="2"/>
      <x:c r="M47" s="2"/>
      <x:c r="N47" s="2"/>
    </x:row>
    <x:row r="48" ht="24" customHeight="1">
      <x:c r="A48" s="2"/>
      <x:c r="B48" s="2" t="str">
        <x:v>Rs_int</x:v>
      </x:c>
      <x:c r="C48" s="33" t="n">
        <x:f>COUNTIFS('Tasks'!$D$6:$D$69,B48,'Tasks'!$C$6:$C$69,"现有候选／待运行认证")+COUNTIFS('Tasks'!$D$6:$D$69,B48,'Tasks'!$C$6:$C$69,"替换留档／不计61")</x:f>
        <x:v>1</x:v>
      </x:c>
      <x:c r="D48" s="39" t="n">
        <x:f>C48/$C$7</x:f>
        <x:v>0.0196078431372549</x:v>
      </x:c>
      <x:c r="E48" s="2"/>
      <x:c r="F48" s="2"/>
      <x:c r="G48" s="2"/>
      <x:c r="H48" s="2"/>
      <x:c r="I48" s="2"/>
      <x:c r="J48" s="2"/>
      <x:c r="K48" s="2"/>
      <x:c r="L48" s="2"/>
      <x:c r="M48" s="2"/>
      <x:c r="N48" s="2"/>
    </x:row>
    <x:row r="49" ht="24" customHeight="1">
      <x:c r="A49" s="2"/>
      <x:c r="B49" s="2" t="str">
        <x:v>school_geography</x:v>
      </x:c>
      <x:c r="C49" s="33" t="n">
        <x:f>COUNTIFS('Tasks'!$D$6:$D$69,B49,'Tasks'!$C$6:$C$69,"现有候选／待运行认证")+COUNTIFS('Tasks'!$D$6:$D$69,B49,'Tasks'!$C$6:$C$69,"替换留档／不计61")</x:f>
        <x:v>1</x:v>
      </x:c>
      <x:c r="D49" s="39" t="n">
        <x:f>C49/$C$7</x:f>
        <x:v>0.0196078431372549</x:v>
      </x:c>
      <x:c r="E49" s="2"/>
      <x:c r="F49" s="2"/>
      <x:c r="G49" s="2"/>
      <x:c r="H49" s="2"/>
      <x:c r="I49" s="2"/>
      <x:c r="J49" s="2"/>
      <x:c r="K49" s="2"/>
      <x:c r="L49" s="2"/>
      <x:c r="M49" s="2"/>
      <x:c r="N49" s="2"/>
    </x:row>
    <x:row r="50" ht="20" customHeight="1">
      <x:c r="A50" s="2"/>
      <x:c r="B50" s="2"/>
      <x:c r="C50" s="2"/>
      <x:c r="D50" s="2"/>
      <x:c r="E50" s="2"/>
      <x:c r="F50" s="2"/>
      <x:c r="G50" s="2"/>
      <x:c r="H50" s="2"/>
      <x:c r="I50" s="2"/>
      <x:c r="J50" s="2"/>
      <x:c r="K50" s="2"/>
      <x:c r="L50" s="2"/>
      <x:c r="M50" s="2"/>
      <x:c r="N50" s="2"/>
    </x:row>
    <x:row r="51" ht="20" customHeight="1">
      <x:c r="A51" s="2"/>
      <x:c r="B51" s="2"/>
      <x:c r="C51" s="2"/>
      <x:c r="D51" s="2"/>
      <x:c r="E51" s="2"/>
      <x:c r="F51" s="2"/>
      <x:c r="G51" s="2"/>
      <x:c r="H51" s="2"/>
      <x:c r="I51" s="2"/>
      <x:c r="J51" s="2"/>
      <x:c r="K51" s="2"/>
      <x:c r="L51" s="2"/>
      <x:c r="M51" s="2"/>
      <x:c r="N51" s="2"/>
    </x:row>
    <x:row r="52" ht="20" customHeight="1">
      <x:c r="A52" s="2"/>
      <x:c r="B52" s="2"/>
      <x:c r="C52" s="2"/>
      <x:c r="D52" s="2"/>
      <x:c r="E52" s="2"/>
      <x:c r="F52" s="2"/>
      <x:c r="G52" s="2"/>
      <x:c r="H52" s="2"/>
      <x:c r="I52" s="2"/>
      <x:c r="J52" s="2"/>
      <x:c r="K52" s="2"/>
      <x:c r="L52" s="2"/>
      <x:c r="M52" s="2"/>
      <x:c r="N52" s="2"/>
    </x:row>
    <x:row r="53" ht="20" customHeight="1">
      <x:c r="A53" s="2"/>
      <x:c r="B53" s="2"/>
      <x:c r="C53" s="2"/>
      <x:c r="D53" s="2"/>
      <x:c r="E53" s="2"/>
      <x:c r="F53" s="2"/>
      <x:c r="G53" s="2"/>
      <x:c r="H53" s="2"/>
      <x:c r="I53" s="2"/>
      <x:c r="J53" s="2"/>
      <x:c r="K53" s="2"/>
      <x:c r="L53" s="2"/>
      <x:c r="M53" s="2"/>
      <x:c r="N53" s="2"/>
    </x:row>
    <x:row r="54" ht="20" customHeight="1">
      <x:c r="A54" s="2"/>
      <x:c r="B54" s="2"/>
      <x:c r="C54" s="2"/>
      <x:c r="D54" s="2"/>
      <x:c r="E54" s="2"/>
      <x:c r="F54" s="2"/>
      <x:c r="G54" s="2"/>
      <x:c r="H54" s="2"/>
      <x:c r="I54" s="2"/>
      <x:c r="J54" s="2"/>
      <x:c r="K54" s="2"/>
      <x:c r="L54" s="2"/>
      <x:c r="M54" s="2"/>
      <x:c r="N54" s="2"/>
    </x:row>
    <x:row r="55" ht="20" customHeight="1">
      <x:c r="A55" s="2"/>
      <x:c r="B55" s="2"/>
      <x:c r="C55" s="2"/>
      <x:c r="D55" s="2"/>
      <x:c r="E55" s="2"/>
      <x:c r="F55" s="2"/>
      <x:c r="G55" s="2"/>
      <x:c r="H55" s="2"/>
      <x:c r="I55" s="2"/>
      <x:c r="J55" s="2"/>
      <x:c r="K55" s="2"/>
      <x:c r="L55" s="2"/>
      <x:c r="M55" s="2"/>
      <x:c r="N55" s="2"/>
    </x:row>
    <x:row r="56" ht="20" customHeight="1">
      <x:c r="A56" s="2"/>
      <x:c r="B56" s="2"/>
      <x:c r="C56" s="2"/>
      <x:c r="D56" s="2"/>
      <x:c r="E56" s="2"/>
      <x:c r="F56" s="2"/>
      <x:c r="G56" s="2"/>
      <x:c r="H56" s="2"/>
      <x:c r="I56" s="2"/>
      <x:c r="J56" s="2"/>
      <x:c r="K56" s="2"/>
      <x:c r="L56" s="2"/>
      <x:c r="M56" s="2"/>
      <x:c r="N56" s="2"/>
    </x:row>
    <x:row r="57" ht="20" customHeight="1">
      <x:c r="A57" s="2"/>
      <x:c r="B57" s="2"/>
      <x:c r="C57" s="2"/>
      <x:c r="D57" s="2"/>
      <x:c r="E57" s="2"/>
      <x:c r="F57" s="2"/>
      <x:c r="G57" s="2"/>
      <x:c r="H57" s="2"/>
      <x:c r="I57" s="2"/>
      <x:c r="J57" s="2"/>
      <x:c r="K57" s="2"/>
      <x:c r="L57" s="2"/>
      <x:c r="M57" s="2"/>
      <x:c r="N57" s="2"/>
    </x:row>
    <x:row r="58" ht="20" customHeight="1">
      <x:c r="A58" s="2"/>
      <x:c r="B58" s="2"/>
      <x:c r="C58" s="2"/>
      <x:c r="D58" s="2"/>
      <x:c r="E58" s="2"/>
      <x:c r="F58" s="2"/>
      <x:c r="G58" s="2"/>
      <x:c r="H58" s="2"/>
      <x:c r="I58" s="2"/>
      <x:c r="J58" s="2"/>
      <x:c r="K58" s="2"/>
      <x:c r="L58" s="2"/>
      <x:c r="M58" s="2"/>
      <x:c r="N58" s="2"/>
    </x:row>
    <x:row r="59" ht="20" customHeight="1">
      <x:c r="A59" s="2"/>
      <x:c r="B59" s="2"/>
      <x:c r="C59" s="2"/>
      <x:c r="D59" s="2"/>
      <x:c r="E59" s="2"/>
      <x:c r="F59" s="2"/>
      <x:c r="G59" s="2"/>
      <x:c r="H59" s="2"/>
      <x:c r="I59" s="2"/>
      <x:c r="J59" s="2"/>
      <x:c r="K59" s="2"/>
      <x:c r="L59" s="2"/>
      <x:c r="M59" s="2"/>
      <x:c r="N59" s="2"/>
    </x:row>
    <x:row r="60" ht="20" customHeight="1">
      <x:c r="A60" s="2"/>
      <x:c r="B60" s="2"/>
      <x:c r="C60" s="2"/>
      <x:c r="D60" s="2"/>
      <x:c r="E60" s="2"/>
      <x:c r="F60" s="2"/>
      <x:c r="G60" s="2"/>
      <x:c r="H60" s="2"/>
      <x:c r="I60" s="2"/>
      <x:c r="J60" s="2"/>
      <x:c r="K60" s="2"/>
      <x:c r="L60" s="2"/>
      <x:c r="M60" s="2"/>
      <x:c r="N60" s="2"/>
    </x:row>
    <x:row r="61" ht="20" customHeight="1">
      <x:c r="A61" s="2"/>
      <x:c r="B61" s="2"/>
      <x:c r="C61" s="2"/>
      <x:c r="D61" s="2"/>
      <x:c r="E61" s="2"/>
      <x:c r="F61" s="2"/>
      <x:c r="G61" s="2"/>
      <x:c r="H61" s="2"/>
      <x:c r="I61" s="2"/>
      <x:c r="J61" s="2"/>
      <x:c r="K61" s="2"/>
      <x:c r="L61" s="2"/>
      <x:c r="M61" s="2"/>
      <x:c r="N61" s="2"/>
    </x:row>
    <x:row r="62" ht="20" customHeight="1">
      <x:c r="A62" s="2"/>
      <x:c r="B62" s="2"/>
      <x:c r="C62" s="2"/>
      <x:c r="D62" s="2"/>
      <x:c r="E62" s="2"/>
      <x:c r="F62" s="2"/>
      <x:c r="G62" s="2"/>
      <x:c r="H62" s="2"/>
      <x:c r="I62" s="2"/>
      <x:c r="J62" s="2"/>
      <x:c r="K62" s="2"/>
      <x:c r="L62" s="2"/>
      <x:c r="M62" s="2"/>
      <x:c r="N62" s="2"/>
    </x:row>
    <x:row r="63" ht="20" customHeight="1">
      <x:c r="A63" s="2"/>
      <x:c r="B63" s="2"/>
      <x:c r="C63" s="2"/>
      <x:c r="D63" s="2"/>
      <x:c r="E63" s="2"/>
      <x:c r="F63" s="2"/>
      <x:c r="G63" s="2"/>
      <x:c r="H63" s="2"/>
      <x:c r="I63" s="2"/>
      <x:c r="J63" s="2"/>
      <x:c r="K63" s="2"/>
      <x:c r="L63" s="2"/>
      <x:c r="M63" s="2"/>
      <x:c r="N63" s="2"/>
    </x:row>
    <x:row r="64" ht="20" customHeight="1">
      <x:c r="A64" s="2"/>
      <x:c r="B64" s="2"/>
      <x:c r="C64" s="2"/>
      <x:c r="D64" s="2"/>
      <x:c r="E64" s="2"/>
      <x:c r="F64" s="2"/>
      <x:c r="G64" s="2"/>
      <x:c r="H64" s="2"/>
      <x:c r="I64" s="2"/>
      <x:c r="J64" s="2"/>
      <x:c r="K64" s="2"/>
      <x:c r="L64" s="2"/>
      <x:c r="M64" s="2"/>
      <x:c r="N64" s="2"/>
    </x:row>
    <x:row r="65" ht="20" customHeight="1">
      <x:c r="A65" s="2"/>
      <x:c r="B65" s="2"/>
      <x:c r="C65" s="2"/>
      <x:c r="D65" s="2"/>
      <x:c r="E65" s="2"/>
      <x:c r="F65" s="2"/>
      <x:c r="G65" s="2"/>
      <x:c r="H65" s="2"/>
      <x:c r="I65" s="2"/>
      <x:c r="J65" s="2"/>
      <x:c r="K65" s="2"/>
      <x:c r="L65" s="2"/>
      <x:c r="M65" s="2"/>
      <x:c r="N65" s="2"/>
    </x:row>
  </x:sheetData>
  <x:pageMargins left="0.7" right="0.7" top="0.75" bottom="0.75" header="0.3" footer="0.3"/>
  <x:drawing xmlns:r="http://schemas.openxmlformats.org/officeDocument/2006/relationships" r:id="R3bf8dede42d94761"/>
</x:worksheet>
</file>

<file path=xl/worksheets/sheet2.xml><?xml version="1.0" encoding="utf-8"?>
<x:worksheet xmlns:x="http://schemas.openxmlformats.org/spreadsheetml/2006/main">
  <x:sheetPr>
    <x:tabColor rgb="FF4C78A8"/>
  </x:sheetPr>
  <x:sheetViews>
    <x:sheetView showGridLines="0" workbookViewId="0">
      <x:pane xSplit="2" ySplit="5" topLeftCell="C6" activePane="bottomRight" state="frozen"/>
    </x:sheetView>
  </x:sheetViews>
  <x:sheetFormatPr defaultRowHeight="15"/>
  <x:cols>
    <x:col min="1" max="1" width="13.890000343322754" hidden="0" customWidth="1"/>
    <x:col min="2" max="2" width="8.670000076293945" hidden="0" customWidth="1"/>
    <x:col min="3" max="3" width="17.219999313354492" hidden="0" customWidth="1"/>
    <x:col min="4" max="4" width="23.329999923706055" hidden="0" customWidth="1"/>
    <x:col min="5" max="5" width="19.780000686645508" hidden="0" customWidth="1"/>
    <x:col min="6" max="6" width="21.670000076293945" hidden="0" customWidth="1"/>
    <x:col min="7" max="7" width="25" hidden="0" customWidth="1"/>
    <x:col min="8" max="8" width="23.889999389648438" hidden="0" customWidth="1"/>
    <x:col min="9" max="9" width="26.110000610351562" hidden="0" customWidth="1"/>
    <x:col min="10" max="10" width="26.670000076293945" hidden="0" customWidth="1"/>
    <x:col min="11" max="11" width="16.110000610351562" hidden="0" customWidth="1"/>
    <x:col min="12" max="12" width="32.220001220703125" hidden="0" customWidth="1"/>
    <x:col min="13" max="13" width="43.33000183105469" hidden="0" customWidth="1"/>
    <x:col min="14" max="14" width="43.33000183105469" hidden="0" customWidth="1"/>
    <x:col min="15" max="15" width="40" hidden="0" customWidth="1"/>
    <x:col min="16" max="16" width="37.779998779296875" hidden="0" customWidth="1"/>
    <x:col min="17" max="17" width="37.220001220703125" hidden="0" customWidth="1"/>
  </x:cols>
  <x:sheetData>
    <x:row r="1" ht="20" customHeight="1">
      <x:c r="A1" s="2"/>
      <x:c r="B1" s="2"/>
      <x:c r="C1" s="2"/>
      <x:c r="D1" s="2"/>
      <x:c r="E1" s="2"/>
      <x:c r="F1" s="2"/>
      <x:c r="G1" s="2"/>
      <x:c r="H1" s="2"/>
      <x:c r="I1" s="2"/>
      <x:c r="J1" s="2"/>
      <x:c r="K1" s="2"/>
      <x:c r="L1" s="2"/>
      <x:c r="M1" s="2"/>
      <x:c r="N1" s="2"/>
      <x:c r="O1" s="2"/>
      <x:c r="P1" s="2"/>
      <x:c r="Q1" s="2"/>
    </x:row>
    <x:row r="2" ht="28" customHeight="1">
      <x:c r="A2" s="3" t="str">
        <x:v>逐任务审查</x:v>
      </x:c>
      <x:c r="B2" s="2"/>
      <x:c r="C2" s="2"/>
      <x:c r="D2" s="2"/>
      <x:c r="E2" s="2"/>
      <x:c r="F2" s="2"/>
      <x:c r="G2" s="2"/>
      <x:c r="H2" s="2"/>
      <x:c r="I2" s="2"/>
      <x:c r="J2" s="2"/>
      <x:c r="K2" s="2"/>
      <x:c r="L2" s="2"/>
      <x:c r="M2" s="2"/>
      <x:c r="N2" s="2"/>
      <x:c r="O2" s="2"/>
      <x:c r="P2" s="2"/>
      <x:c r="Q2" s="2"/>
    </x:row>
    <x:row r="3" ht="20" customHeight="1">
      <x:c r="A3" s="4" t="str">
        <x:v>筛选“纳入61=是”查看拟候选集。51个现有任务与13个新设计共64行，3个旧Size保留为历史审查记录。</x:v>
      </x:c>
      <x:c r="B3" s="2"/>
      <x:c r="C3" s="2"/>
      <x:c r="D3" s="2"/>
      <x:c r="E3" s="2"/>
      <x:c r="F3" s="2"/>
      <x:c r="G3" s="2"/>
      <x:c r="H3" s="2"/>
      <x:c r="I3" s="2"/>
      <x:c r="J3" s="2"/>
      <x:c r="K3" s="2"/>
      <x:c r="L3" s="2"/>
      <x:c r="M3" s="2"/>
      <x:c r="N3" s="2"/>
      <x:c r="O3" s="2"/>
      <x:c r="P3" s="2"/>
      <x:c r="Q3" s="2"/>
    </x:row>
    <x:row r="4" ht="20" customHeight="1">
      <x:c r="A4" s="2"/>
      <x:c r="B4" s="2"/>
      <x:c r="C4" s="2"/>
      <x:c r="D4" s="2"/>
      <x:c r="E4" s="2"/>
      <x:c r="F4" s="2"/>
      <x:c r="G4" s="2"/>
      <x:c r="H4" s="2"/>
      <x:c r="I4" s="2"/>
      <x:c r="J4" s="2"/>
      <x:c r="K4" s="2"/>
      <x:c r="L4" s="2"/>
      <x:c r="M4" s="2"/>
      <x:c r="N4" s="2"/>
      <x:c r="O4" s="2"/>
      <x:c r="P4" s="2"/>
      <x:c r="Q4" s="2"/>
    </x:row>
    <x:row r="5" ht="30" customHeight="1">
      <x:c r="A5" s="9" t="str">
        <x:v>短ID</x:v>
      </x:c>
      <x:c r="B5" s="10" t="str">
        <x:v>纳入61</x:v>
      </x:c>
      <x:c r="C5" s="10" t="str">
        <x:v>实现状态</x:v>
      </x:c>
      <x:c r="D5" s="10" t="str">
        <x:v>场景</x:v>
      </x:c>
      <x:c r="E5" s="10" t="str">
        <x:v>房间</x:v>
      </x:c>
      <x:c r="F5" s="10" t="str">
        <x:v>来源大类</x:v>
      </x:c>
      <x:c r="G5" s="10" t="str">
        <x:v>来源子类</x:v>
      </x:c>
      <x:c r="H5" s="10" t="str">
        <x:v>主要任务目标分类</x:v>
      </x:c>
      <x:c r="I5" s="10" t="str">
        <x:v>建议子类</x:v>
      </x:c>
      <x:c r="J5" s="10" t="str">
        <x:v>任务物体与数量</x:v>
      </x:c>
      <x:c r="K5" s="10" t="str">
        <x:v>面积与口径</x:v>
      </x:c>
      <x:c r="L5" s="10" t="str">
        <x:v>任务范围</x:v>
      </x:c>
      <x:c r="M5" s="10" t="str">
        <x:v>具体风险</x:v>
      </x:c>
      <x:c r="N5" s="10" t="str">
        <x:v>建议处理</x:v>
      </x:c>
      <x:c r="O5" s="10" t="str">
        <x:v>证据与待测项</x:v>
      </x:c>
      <x:c r="P5" s="10" t="str">
        <x:v>来源URL</x:v>
      </x:c>
      <x:c r="Q5" s="11" t="str">
        <x:v>完整任务ID</x:v>
      </x:c>
    </x:row>
    <x:row r="6" ht="87" customHeight="1">
      <x:c r="A6" s="18" t="str">
        <x:v>T01</x:v>
      </x:c>
      <x:c r="B6" s="20" t="str">
        <x:v>是</x:v>
      </x:c>
      <x:c r="C6" s="18" t="str">
        <x:v>现有候选／待运行认证</x:v>
      </x:c>
      <x:c r="D6" s="18" t="str">
        <x:v>Merom_0_garden</x:v>
      </x:c>
      <x:c r="E6" s="18" t="str">
        <x:v>utility_room_0</x:v>
      </x:c>
      <x:c r="F6" s="18" t="str">
        <x:v>Action Sequencing</x:v>
      </x:c>
      <x:c r="G6" s="18" t="str">
        <x:v>Action Order Inference</x:v>
      </x:c>
      <x:c r="H6" s="18" t="str">
        <x:v>Physical Construction &amp; Experimentation</x:v>
      </x:c>
      <x:c r="I6" s="18" t="str">
        <x:v>Prescribed-order construction</x:v>
      </x:c>
      <x:c r="J6" s="18" t="str">
        <x:v>5 个去重相关物体：wicker_basket、pizza_box、pizza_box、lemon、lemon；中间物1+底层候选2+顶层候选2，终态3物体</x:v>
      </x:c>
      <x:c r="K6" s="24" t="str">
        <x:v>房间／可通行面积待测；可用台面见具体风险</x:v>
      </x:c>
      <x:c r="L6" s="18" t="str">
        <x:v>局部五候选工作区；最终三物体支撑链；独立放置可能增加移步和搬运。</x:v>
      </x:c>
      <x:c r="M6" s="18" t="str">
        <x:v>两只 pizza_box、wicker_basket、两只 lemon 共 5 个候选，不是 3 个。篮子开口和柠檬滚动会把“稳定在上面”与“掉进篮子”混在一起；目标已给定操作次序，不能计为推断顺序。</x:v>
      </x:c>
      <x:c r="N6" s="18" t="str">
        <x:v>保留为给定顺序执行对照；验收中明示篮口内承托是否允许，选择两组候选均可观察的局部工作区，记录最终支撑链与机器人退手后的稳定性。</x:v>
      </x:c>
      <x:c r="O6" s="18" t="str">
        <x:v>当前 task/scene YAML 静态核对；task_yaml。既有 receipt 属历史证据；本次无新物理运行。</x:v>
      </x:c>
      <x:c r="P6" s="28" t="str">
        <x:v>https://github.com/XuanCheg/Show-Harness-Explore/blob/33bada4bb278471b7a925cd8ddfa3d46a19f52fb/explore_to_achieve/tasks/Action%20Sequencing/Action%20Order%20Inference/Merom_0_garden/utility_room_0/corev2__category_17d798839775b73b4f9f8d26.yaml</x:v>
      </x:c>
      <x:c r="Q6" s="18" t="str">
        <x:v>category_17d798839775b73b4f9f8d26</x:v>
      </x:c>
    </x:row>
    <x:row r="7" ht="87" customHeight="1">
      <x:c r="A7" s="16" t="str">
        <x:v>T02</x:v>
      </x:c>
      <x:c r="B7" s="21" t="str">
        <x:v>是</x:v>
      </x:c>
      <x:c r="C7" s="16" t="str">
        <x:v>现有候选／待运行认证</x:v>
      </x:c>
      <x:c r="D7" s="16" t="str">
        <x:v>house_single_floor</x:v>
      </x:c>
      <x:c r="E7" s="16" t="str">
        <x:v>dining_room_0</x:v>
      </x:c>
      <x:c r="F7" s="16" t="str">
        <x:v>Action Sequencing</x:v>
      </x:c>
      <x:c r="G7" s="16" t="str">
        <x:v>Action Order Inference</x:v>
      </x:c>
      <x:c r="H7" s="16" t="str">
        <x:v>Physical Construction &amp; Experimentation</x:v>
      </x:c>
      <x:c r="I7" s="16" t="str">
        <x:v>Prescribed-order construction</x:v>
      </x:c>
      <x:c r="J7" s="16" t="str">
        <x:v>5 个去重相关物体：gift_box、cutting_board、cutting_board、softball、softball；中间物1+底层候选2+顶层候选2，终态3物体</x:v>
      </x:c>
      <x:c r="K7" s="25" t="str">
        <x:v>房间／可通行面积待测；可用台面见具体风险</x:v>
      </x:c>
      <x:c r="L7" s="16" t="str">
        <x:v>餐厅局部工作区；5 个候选、3 个最终塔成员。</x:v>
      </x:c>
      <x:c r="M7" s="16" t="str">
        <x:v>gift_box 上放 softball 容易滚动；两块 cutting_board 和两只 softball 的候选选择与塔稳定性叠加，初始布局分散会额外考查移动。仅 0.5 秒稳定窗口可能接受短暂平衡，需用回放检查。</x:v>
      </x:c>
      <x:c r="N7" s="16" t="str">
        <x:v>将顺序执行与稳定搭建分项计分；校准球体接触点和最终退手观测时长，保留候选身份差异并测量 5 候选的共同可达范围。</x:v>
      </x:c>
      <x:c r="O7" s="16" t="str">
        <x:v>当前 task/scene YAML 静态核对；task_yaml。既有 receipt 属历史证据；本次无新物理运行。</x:v>
      </x:c>
      <x:c r="P7" s="29" t="str">
        <x:v>https://github.com/XuanCheg/Show-Harness-Explore/blob/33bada4bb278471b7a925cd8ddfa3d46a19f52fb/explore_to_achieve/tasks/Action%20Sequencing/Action%20Order%20Inference/house_single_floor/dining_room_0/corev2__category_11e210b18d60f8824aa6f88e.yaml</x:v>
      </x:c>
      <x:c r="Q7" s="16" t="str">
        <x:v>category_11e210b18d60f8824aa6f88e</x:v>
      </x:c>
    </x:row>
    <x:row r="8" ht="87" customHeight="1">
      <x:c r="A8" s="19" t="str">
        <x:v>T03</x:v>
      </x:c>
      <x:c r="B8" s="22" t="str">
        <x:v>是</x:v>
      </x:c>
      <x:c r="C8" s="19" t="str">
        <x:v>现有候选／待运行认证</x:v>
      </x:c>
      <x:c r="D8" s="19" t="str">
        <x:v>office_cubicles_left</x:v>
      </x:c>
      <x:c r="E8" s="19" t="str">
        <x:v>lobby_0</x:v>
      </x:c>
      <x:c r="F8" s="19" t="str">
        <x:v>Action Sequencing</x:v>
      </x:c>
      <x:c r="G8" s="19" t="str">
        <x:v>Action Order Inference</x:v>
      </x:c>
      <x:c r="H8" s="19" t="str">
        <x:v>Physical Construction &amp; Experimentation</x:v>
      </x:c>
      <x:c r="I8" s="19" t="str">
        <x:v>Prescribed-order construction</x:v>
      </x:c>
      <x:c r="J8" s="19" t="str">
        <x:v>5 个去重相关物体：casserole、pizza_box、pizza_box、pear、pear；中间物1+底层候选2+顶层候选2，终态3物体</x:v>
      </x:c>
      <x:c r="K8" s="26" t="str">
        <x:v>房间／可通行面积待测；可用台面见具体风险</x:v>
      </x:c>
      <x:c r="L8" s="19" t="str">
        <x:v>大厅中的局部五候选工作区；不需要全大厅探索。</x:v>
      </x:c>
      <x:c r="M8" s="19" t="str">
        <x:v>casserole 有凹腔和手柄，pear 可能落入容器而不是形成预期塔；pizza_box 两候选的承载面几何与 pear 稳定性决定可行性，房间大不能替代接触验证。</x:v>
      </x:c>
      <x:c r="N8" s="19" t="str">
        <x:v>明确梨落入锅腔是否属于支持关系；将五候选集中在可达区域但保留身份与比例，先验证一个合法三层支撑结果，再作为给定次序对照发布。</x:v>
      </x:c>
      <x:c r="O8" s="19" t="str">
        <x:v>当前 task/scene YAML 静态核对；task_yaml。既有 receipt 属历史证据；本次无新物理运行。</x:v>
      </x:c>
      <x:c r="P8" s="30" t="str">
        <x:v>https://github.com/XuanCheg/Show-Harness-Explore/blob/33bada4bb278471b7a925cd8ddfa3d46a19f52fb/explore_to_achieve/tasks/Action%20Sequencing/Action%20Order%20Inference/office_cubicles_left/lobby_0/corev2__category_47e03b7b97473aacca3cfd04.yaml</x:v>
      </x:c>
      <x:c r="Q8" s="19" t="str">
        <x:v>category_47e03b7b97473aacca3cfd04</x:v>
      </x:c>
    </x:row>
    <x:row r="9" ht="87" customHeight="1">
      <x:c r="A9" s="16" t="str">
        <x:v>T04</x:v>
      </x:c>
      <x:c r="B9" s="21" t="str">
        <x:v>是</x:v>
      </x:c>
      <x:c r="C9" s="16" t="str">
        <x:v>现有候选／待运行认证</x:v>
      </x:c>
      <x:c r="D9" s="16" t="str">
        <x:v>Rs_int</x:v>
      </x:c>
      <x:c r="E9" s="16" t="str">
        <x:v>full_scene</x:v>
      </x:c>
      <x:c r="F9" s="16" t="str">
        <x:v>Cognitive Mapping</x:v>
      </x:c>
      <x:c r="G9" s="16" t="str">
        <x:v>Connectivity</x:v>
      </x:c>
      <x:c r="H9" s="16" t="str">
        <x:v>Spatial Exploration &amp; Navigation</x:v>
      </x:c>
      <x:c r="I9" s="16" t="str">
        <x:v>Topological relation verification</x:v>
      </x:c>
      <x:c r="J9" s="16" t="str">
        <x:v>2 个相关区域；1 个邻接问题；物体总数待测</x:v>
      </x:c>
      <x:c r="K9" s="25" t="str">
        <x:v>房间／可通行面积待测；局部尺度见范围列</x:v>
      </x:c>
      <x:c r="L9" s="16" t="str">
        <x:v>跨区域拓扑访问；门与通道属于任务可达性约束</x:v>
      </x:c>
      <x:c r="M9" s="16" t="str">
        <x:v>2个目标区域、1个邻接判断；任务要求base translation/rotation但保留原生门且要求真实开门。源no-door通行图不能证明当前R1可过门；是否存在必须开门的路线仍需实测。</x:v>
      </x:c>
      <x:c r="N9" s="16" t="str">
        <x:v>保留为局部拓扑诊断，需核对门策略与输入信息</x:v>
      </x:c>
      <x:c r="O9" s="16" t="str">
        <x:v>当前 manifest/task/scene 静态核对；部分尺寸、初态、被动斜坡结果来自仓库既有 Native 收据；本次未运行新的机器人或 Agent 实验。</x:v>
      </x:c>
      <x:c r="P9" s="29" t="str">
        <x:v>https://github.com/XuanCheg/Show-Harness-Explore/blob/33bada4bb278471b7a925cd8ddfa3d46a19f52fb/explore_to_achieve/tasks/Cognitive%20Mapping/Connectivity/Rs_int/full_scene/corev2__category_a8f49ca31bf5f14acf8ab31a.yaml</x:v>
      </x:c>
      <x:c r="Q9" s="16" t="str">
        <x:v>category_a8f49ca31bf5f14acf8ab31a</x:v>
      </x:c>
    </x:row>
    <x:row r="10" ht="87" customHeight="1">
      <x:c r="A10" s="19" t="str">
        <x:v>T05</x:v>
      </x:c>
      <x:c r="B10" s="22" t="str">
        <x:v>是</x:v>
      </x:c>
      <x:c r="C10" s="19" t="str">
        <x:v>现有候选／待运行认证</x:v>
      </x:c>
      <x:c r="D10" s="19" t="str">
        <x:v>house_double_floor_upper</x:v>
      </x:c>
      <x:c r="E10" s="19" t="str">
        <x:v>full_scene</x:v>
      </x:c>
      <x:c r="F10" s="19" t="str">
        <x:v>Cognitive Mapping</x:v>
      </x:c>
      <x:c r="G10" s="19" t="str">
        <x:v>Connectivity</x:v>
      </x:c>
      <x:c r="H10" s="19" t="str">
        <x:v>Spatial Exploration &amp; Navigation</x:v>
      </x:c>
      <x:c r="I10" s="19" t="str">
        <x:v>Topological relation verification</x:v>
      </x:c>
      <x:c r="J10" s="19" t="str">
        <x:v>5 个相关区域；5 个邻接问题；物体总数待测</x:v>
      </x:c>
      <x:c r="K10" s="26" t="str">
        <x:v>房间分割标签面积 118.69 m²；未扣家具，不是可通行面积</x:v>
      </x:c>
      <x:c r="L10" s="19" t="str">
        <x:v>跨区域拓扑访问；门与通道属于任务可达性约束</x:v>
      </x:c>
      <x:c r="M10" s="19" t="str">
        <x:v>5个区域、5个邻接问题合并为一次episode；初始Agent overview被允许且历史当前版本视觉审查说能看见室内平面。需区分其RGB与human_only分割图，实测初始图是否已暴露拓扑。</x:v>
      </x:c>
      <x:c r="N10" s="19" t="str">
        <x:v>保留为多问共享探索，审计初始overview</x:v>
      </x:c>
      <x:c r="O10" s="19" t="str">
        <x:v>当前 manifest/task/scene 静态核对；部分尺寸、初态、被动斜坡结果来自仓库既有 Native 收据；本次未运行新的机器人或 Agent 实验。</x:v>
      </x:c>
      <x:c r="P10" s="30" t="str">
        <x:v>https://github.com/XuanCheg/Show-Harness-Explore/blob/33bada4bb278471b7a925cd8ddfa3d46a19f52fb/explore_to_achieve/tasks/Cognitive%20Mapping/Connectivity/house_double_floor_upper/full_scene/corev2__category_cf3697aa6546a5518f3e5735.yaml</x:v>
      </x:c>
      <x:c r="Q10" s="19" t="str">
        <x:v>category_cf3697aa6546a5518f3e5735</x:v>
      </x:c>
    </x:row>
    <x:row r="11" ht="87" customHeight="1">
      <x:c r="A11" s="16" t="str">
        <x:v>T06</x:v>
      </x:c>
      <x:c r="B11" s="21" t="str">
        <x:v>是</x:v>
      </x:c>
      <x:c r="C11" s="16" t="str">
        <x:v>现有候选／待运行认证</x:v>
      </x:c>
      <x:c r="D11" s="16" t="str">
        <x:v>school_geography</x:v>
      </x:c>
      <x:c r="E11" s="16" t="str">
        <x:v>full_scene</x:v>
      </x:c>
      <x:c r="F11" s="16" t="str">
        <x:v>Cognitive Mapping</x:v>
      </x:c>
      <x:c r="G11" s="16" t="str">
        <x:v>Connectivity</x:v>
      </x:c>
      <x:c r="H11" s="16" t="str">
        <x:v>Spatial Exploration &amp; Navigation</x:v>
      </x:c>
      <x:c r="I11" s="16" t="str">
        <x:v>Topological relation verification</x:v>
      </x:c>
      <x:c r="J11" s="16" t="str">
        <x:v>4 个相关区域；5 个邻接问题；物体总数待测</x:v>
      </x:c>
      <x:c r="K11" s="25" t="str">
        <x:v>房间分割标签面积 465.59 m²；未扣家具，不是可通行面积</x:v>
      </x:c>
      <x:c r="L11" s="16" t="str">
        <x:v>跨区域拓扑访问；门与通道属于任务可达性约束</x:v>
      </x:c>
      <x:c r="M11" s="16" t="str">
        <x:v>4个任务相关区域、5个邻接问题；原生房间分割标签覆盖5个区域、约465.59m²，不能与118.69m²住宅共用未校准的规模假设。</x:v>
      </x:c>
      <x:c r="N11" s="16" t="str">
        <x:v>保留为大尺度拓扑探索，单独预算层</x:v>
      </x:c>
      <x:c r="O11" s="16" t="str">
        <x:v>当前 manifest/task/scene 静态核对；部分尺寸、初态、被动斜坡结果来自仓库既有 Native 收据；本次未运行新的机器人或 Agent 实验。</x:v>
      </x:c>
      <x:c r="P11" s="29" t="str">
        <x:v>https://github.com/XuanCheg/Show-Harness-Explore/blob/33bada4bb278471b7a925cd8ddfa3d46a19f52fb/explore_to_achieve/tasks/Cognitive%20Mapping/Connectivity/school_geography/full_scene/corev2__category_5296997426a116135b7c80aa.yaml</x:v>
      </x:c>
      <x:c r="Q11" s="16" t="str">
        <x:v>category_5296997426a116135b7c80aa</x:v>
      </x:c>
    </x:row>
    <x:row r="12" ht="87" customHeight="1">
      <x:c r="A12" s="19" t="str">
        <x:v>T07</x:v>
      </x:c>
      <x:c r="B12" s="22" t="str">
        <x:v>是</x:v>
      </x:c>
      <x:c r="C12" s="19" t="str">
        <x:v>现有候选／待运行认证</x:v>
      </x:c>
      <x:c r="D12" s="19" t="str">
        <x:v>Beechwood_0_int</x:v>
      </x:c>
      <x:c r="E12" s="19" t="str">
        <x:v>full_scene</x:v>
      </x:c>
      <x:c r="F12" s="19" t="str">
        <x:v>Cognitive Mapping</x:v>
      </x:c>
      <x:c r="G12" s="19" t="str">
        <x:v>Long-Term Navigation</x:v>
      </x:c>
      <x:c r="H12" s="19" t="str">
        <x:v>Spatial Exploration &amp; Navigation</x:v>
      </x:c>
      <x:c r="I12" s="19" t="str">
        <x:v>Ordered route following</x:v>
      </x:c>
      <x:c r="J12" s="19" t="str">
        <x:v>6 个给定房间目标；物体总数待测</x:v>
      </x:c>
      <x:c r="K12" s="26" t="str">
        <x:v>房间分割标签面积 128.10 m²；未扣家具，不是可通行面积</x:v>
      </x:c>
      <x:c r="L12" s="19" t="str">
        <x:v>跨房路线；源参考长度 11.361 m（非已验证 R1 路径）；187 decisions 预算未校准</x:v>
      </x:c>
      <x:c r="M12" s="19" t="str">
        <x:v>给定6房间顺序，不是从问题推断路线；源路径11.361m而非真实R1路线。storage_room_1标签面积仅1.831m²，需检查机器人能否真实进入、稳定停留及必要撤出。</x:v>
      </x:c>
      <x:c r="N12" s="19" t="str">
        <x:v>保留为有序导航执行，先核对末端小房间</x:v>
      </x:c>
      <x:c r="O12" s="19" t="str">
        <x:v>当前 manifest/task/scene 静态核对；部分尺寸、初态、被动斜坡结果来自仓库既有 Native 收据；本次未运行新的机器人或 Agent 实验。</x:v>
      </x:c>
      <x:c r="P12" s="30" t="str">
        <x:v>https://github.com/XuanCheg/Show-Harness-Explore/blob/33bada4bb278471b7a925cd8ddfa3d46a19f52fb/explore_to_achieve/tasks/Cognitive%20Mapping/Long-Term%20Navigation/Beechwood_0_int/full_scene/corev2__category_bb85ad2d7d19a7fdde23a2a0.yaml</x:v>
      </x:c>
      <x:c r="Q12" s="19" t="str">
        <x:v>category_bb85ad2d7d19a7fdde23a2a0</x:v>
      </x:c>
    </x:row>
    <x:row r="13" ht="87" customHeight="1">
      <x:c r="A13" s="16" t="str">
        <x:v>T08</x:v>
      </x:c>
      <x:c r="B13" s="21" t="str">
        <x:v>是</x:v>
      </x:c>
      <x:c r="C13" s="16" t="str">
        <x:v>现有候选／待运行认证</x:v>
      </x:c>
      <x:c r="D13" s="16" t="str">
        <x:v>office_cubicles_left</x:v>
      </x:c>
      <x:c r="E13" s="16" t="str">
        <x:v>full_scene</x:v>
      </x:c>
      <x:c r="F13" s="16" t="str">
        <x:v>Cognitive Mapping</x:v>
      </x:c>
      <x:c r="G13" s="16" t="str">
        <x:v>Long-Term Navigation</x:v>
      </x:c>
      <x:c r="H13" s="16" t="str">
        <x:v>Spatial Exploration &amp; Navigation</x:v>
      </x:c>
      <x:c r="I13" s="16" t="str">
        <x:v>Ordered route following</x:v>
      </x:c>
      <x:c r="J13" s="16" t="str">
        <x:v>4 个给定房间目标；物体总数待测</x:v>
      </x:c>
      <x:c r="K13" s="25" t="str">
        <x:v>房间分割标签面积 782.35 m²；未扣家具，不是可通行面积</x:v>
      </x:c>
      <x:c r="L13" s="16" t="str">
        <x:v>跨房路线；源参考长度 43.831 m（非已验证 R1 路径）；415 decisions 预算未校准</x:v>
      </x:c>
      <x:c r="M13" s="16" t="str">
        <x:v>给定4房间顺序，但源路径43.831m约为6房间住宅任务的3.86倍；完整办公室13标签区域约782.35m²。房间个数不足以代表任务负担。</x:v>
      </x:c>
      <x:c r="N13" s="16" t="str">
        <x:v>保留为长路线导航执行，单独高负担层</x:v>
      </x:c>
      <x:c r="O13" s="16" t="str">
        <x:v>当前 manifest/task/scene 静态核对；部分尺寸、初态、被动斜坡结果来自仓库既有 Native 收据；本次未运行新的机器人或 Agent 实验。</x:v>
      </x:c>
      <x:c r="P13" s="29" t="str">
        <x:v>https://github.com/XuanCheg/Show-Harness-Explore/blob/33bada4bb278471b7a925cd8ddfa3d46a19f52fb/explore_to_achieve/tasks/Cognitive%20Mapping/Long-Term%20Navigation/office_cubicles_left/full_scene/corev2__category_062d036de1fac0297a84732f.yaml</x:v>
      </x:c>
      <x:c r="Q13" s="16" t="str">
        <x:v>category_062d036de1fac0297a84732f</x:v>
      </x:c>
    </x:row>
    <x:row r="14" ht="87" customHeight="1">
      <x:c r="A14" s="19" t="str">
        <x:v>T09</x:v>
      </x:c>
      <x:c r="B14" s="22" t="str">
        <x:v>是</x:v>
      </x:c>
      <x:c r="C14" s="19" t="str">
        <x:v>现有候选／待运行认证</x:v>
      </x:c>
      <x:c r="D14" s="19" t="str">
        <x:v>restaurant_cafeteria</x:v>
      </x:c>
      <x:c r="E14" s="19" t="str">
        <x:v>full_scene</x:v>
      </x:c>
      <x:c r="F14" s="19" t="str">
        <x:v>Cognitive Mapping</x:v>
      </x:c>
      <x:c r="G14" s="19" t="str">
        <x:v>Regional Boundary</x:v>
      </x:c>
      <x:c r="H14" s="19" t="str">
        <x:v>Spatial Exploration &amp; Navigation</x:v>
      </x:c>
      <x:c r="I14" s="19" t="str">
        <x:v>Region and anchor grounding</x:v>
      </x:c>
      <x:c r="J14" s="19" t="str">
        <x:v>1 个固定查询锚点；原生背景对象总数待测</x:v>
      </x:c>
      <x:c r="K14" s="26" t="str">
        <x:v>房间／可通行面积待测；局部尺度见范围列</x:v>
      </x:c>
      <x:c r="L14" s="19" t="str">
        <x:v>跨区域观察和答案/访问认证；没有物体送达终态</x:v>
      </x:c>
      <x:c r="M14" s="19" t="str">
        <x:v>1个高处固定锚点chandelier、3个区域选项；按观察+答案评估，无需抓取。场景扩大不自动增加关系推理；高处锚点必须在实际输入中可辨认。</x:v>
      </x:c>
      <x:c r="N14" s="19" t="str">
        <x:v>保留为区域关系诊断，若主赛道要求物理目标需改终态</x:v>
      </x:c>
      <x:c r="O14" s="19" t="str">
        <x:v>当前 manifest/task/scene 静态核对；部分尺寸、初态、被动斜坡结果来自仓库既有 Native 收据；本次未运行新的机器人或 Agent 实验。</x:v>
      </x:c>
      <x:c r="P14" s="30" t="str">
        <x:v>https://github.com/XuanCheg/Show-Harness-Explore/blob/33bada4bb278471b7a925cd8ddfa3d46a19f52fb/explore_to_achieve/tasks/Cognitive%20Mapping/Regional%20Boundary/restaurant_cafeteria/full_scene/corev2__category_6f23dae3a5a0c6b26db61a50.yaml</x:v>
      </x:c>
      <x:c r="Q14" s="19" t="str">
        <x:v>category_6f23dae3a5a0c6b26db61a50</x:v>
      </x:c>
    </x:row>
    <x:row r="15" ht="87" customHeight="1">
      <x:c r="A15" s="16" t="str">
        <x:v>T10</x:v>
      </x:c>
      <x:c r="B15" s="21" t="str">
        <x:v>是</x:v>
      </x:c>
      <x:c r="C15" s="16" t="str">
        <x:v>现有候选／待运行认证</x:v>
      </x:c>
      <x:c r="D15" s="16" t="str">
        <x:v>restaurant_cafeteria</x:v>
      </x:c>
      <x:c r="E15" s="16" t="str">
        <x:v>full_scene</x:v>
      </x:c>
      <x:c r="F15" s="16" t="str">
        <x:v>Cognitive Mapping</x:v>
      </x:c>
      <x:c r="G15" s="16" t="str">
        <x:v>Regional Boundary</x:v>
      </x:c>
      <x:c r="H15" s="16" t="str">
        <x:v>Spatial Exploration &amp; Navigation</x:v>
      </x:c>
      <x:c r="I15" s="16" t="str">
        <x:v>Region and anchor grounding</x:v>
      </x:c>
      <x:c r="J15" s="16" t="str">
        <x:v>2 个固定查询锚点；原生背景对象总数待测</x:v>
      </x:c>
      <x:c r="K15" s="25" t="str">
        <x:v>房间／可通行面积待测；局部尺度见范围列</x:v>
      </x:c>
      <x:c r="L15" s="16" t="str">
        <x:v>跨区域观察和答案/访问认证；没有物体送达终态</x:v>
      </x:c>
      <x:c r="M15" s="16" t="str">
        <x:v>2个固定锚点top_cabinet/commercial_kitchen_table，同区域问题；与前项同restaurant_cafeteria full_scene，split必须按建筑分组。</x:v>
      </x:c>
      <x:c r="N15" s="16" t="str">
        <x:v>保留为区域关系诊断，注意与前项同楼重复</x:v>
      </x:c>
      <x:c r="O15" s="16" t="str">
        <x:v>当前 manifest/task/scene 静态核对；部分尺寸、初态、被动斜坡结果来自仓库既有 Native 收据；本次未运行新的机器人或 Agent 实验。</x:v>
      </x:c>
      <x:c r="P15" s="29" t="str">
        <x:v>https://github.com/XuanCheg/Show-Harness-Explore/blob/33bada4bb278471b7a925cd8ddfa3d46a19f52fb/explore_to_achieve/tasks/Cognitive%20Mapping/Regional%20Boundary/restaurant_cafeteria/full_scene/corev2__category_2f46a8c2898ca9d05d6ac045.yaml</x:v>
      </x:c>
      <x:c r="Q15" s="16" t="str">
        <x:v>category_2f46a8c2898ca9d05d6ac045</x:v>
      </x:c>
    </x:row>
    <x:row r="16" ht="87" customHeight="1">
      <x:c r="A16" s="19" t="str">
        <x:v>T11</x:v>
      </x:c>
      <x:c r="B16" s="22" t="str">
        <x:v>是</x:v>
      </x:c>
      <x:c r="C16" s="19" t="str">
        <x:v>现有候选／待运行认证</x:v>
      </x:c>
      <x:c r="D16" s="19" t="str">
        <x:v>school_gym</x:v>
      </x:c>
      <x:c r="E16" s="19" t="str">
        <x:v>full_scene</x:v>
      </x:c>
      <x:c r="F16" s="19" t="str">
        <x:v>Cognitive Mapping</x:v>
      </x:c>
      <x:c r="G16" s="19" t="str">
        <x:v>Regional Boundary</x:v>
      </x:c>
      <x:c r="H16" s="19" t="str">
        <x:v>Spatial Exploration &amp; Navigation</x:v>
      </x:c>
      <x:c r="I16" s="19" t="str">
        <x:v>Region and anchor grounding</x:v>
      </x:c>
      <x:c r="J16" s="19" t="str">
        <x:v>1 个固定查询锚点；原生背景对象总数待测</x:v>
      </x:c>
      <x:c r="K16" s="26" t="str">
        <x:v>房间／可通行面积待测；局部尺度见范围列</x:v>
      </x:c>
      <x:c r="L16" s="19" t="str">
        <x:v>跨区域观察和答案/访问认证；没有物体送达终态</x:v>
      </x:c>
      <x:c r="M16" s="19" t="str">
        <x:v>问题问paper_towel_dispenser属于哪个房间，但正确选项locker room 1的描述直接写with paper towel dispenser，存在明确词面捷径；应换与查询对象无关的房间描述或增加同类锚点以消除直接包含答案的线索。</x:v>
      </x:c>
      <x:c r="N16" s="19" t="str">
        <x:v>优先修复公开文本捷径</x:v>
      </x:c>
      <x:c r="O16" s="19" t="str">
        <x:v>当前 manifest/task/scene 静态核对；部分尺寸、初态、被动斜坡结果来自仓库既有 Native 收据；本次未运行新的机器人或 Agent 实验。</x:v>
      </x:c>
      <x:c r="P16" s="30" t="str">
        <x:v>https://github.com/XuanCheg/Show-Harness-Explore/blob/33bada4bb278471b7a925cd8ddfa3d46a19f52fb/explore_to_achieve/tasks/Cognitive%20Mapping/Regional%20Boundary/school_gym/full_scene/corev2__category_1a55282aea78514f749fe4e0.yaml</x:v>
      </x:c>
      <x:c r="Q16" s="19" t="str">
        <x:v>category_1a55282aea78514f749fe4e0</x:v>
      </x:c>
    </x:row>
    <x:row r="17" ht="87" customHeight="1">
      <x:c r="A17" s="16" t="str">
        <x:v>T12</x:v>
      </x:c>
      <x:c r="B17" s="21" t="str">
        <x:v>否</x:v>
      </x:c>
      <x:c r="C17" s="16" t="str">
        <x:v>替换留档／不计61</x:v>
      </x:c>
      <x:c r="D17" s="16" t="str">
        <x:v>Merom_0_garden</x:v>
      </x:c>
      <x:c r="E17" s="16" t="str">
        <x:v>playroom_0</x:v>
      </x:c>
      <x:c r="F17" s="16" t="str">
        <x:v>Metric Comparison</x:v>
      </x:c>
      <x:c r="G17" s="16" t="str">
        <x:v>Dimensional Size</x:v>
      </x:c>
      <x:c r="H17" s="16" t="str">
        <x:v>Embodied Grounding</x:v>
      </x:c>
      <x:c r="I17" s="16" t="str">
        <x:v>Metric referent selection and delivery (legacy)</x:v>
      </x:c>
      <x:c r="J17" s="16" t="str">
        <x:v>5 个去重相关物体：goblet、goblet、baseball、cactus、countertop；2目标+2参照+1目的地，地标另计</x:v>
      </x:c>
      <x:c r="K17" s="25" t="str">
        <x:v>房间／可通行面积待测；可用台面见具体风险</x:v>
      </x:c>
      <x:c r="L17" s="16" t="str">
        <x:v>两组比大小对象与参照物，加一个投放面；另需识别 bottom_cabinet 地标。</x:v>
      </x:c>
      <x:c r="M17" s="16" t="str">
        <x:v>两个 goblet 尺度差 26.4%，主要是同模型缩放辨别。目的地描述为离柜子最近的 countertop，但源码根点距离最近与次近只差约 0.119 m（两者距离均约 4 m），语言唯一性弱；这不是已验证的可见表面距离。</x:v>
      </x:c>
      <x:c r="N17" s="16" t="str">
        <x:v>按既定方案退出 61 项主集；若保留历史对照，为目的地增加可观察且独一的标签，报告 2 目标+2 参照+1 目的地及额外地标，验证高脚杯抓取和目的地稳定释放。</x:v>
      </x:c>
      <x:c r="O17" s="16" t="str">
        <x:v>当前 task/scene YAML 静态核对；task_yaml。既有 receipt 属历史证据；本次无新物理运行。</x:v>
      </x:c>
      <x:c r="P17" s="29" t="str">
        <x:v>https://github.com/XuanCheg/Show-Harness-Explore/blob/33bada4bb278471b7a925cd8ddfa3d46a19f52fb/explore_to_achieve/tasks/Metric%20Comparison/Dimensional%20Size/Merom_0_garden/playroom_0/corev2__category_6b899eec6ad148ab6135693f.yaml</x:v>
      </x:c>
      <x:c r="Q17" s="16" t="str">
        <x:v>category_6b899eec6ad148ab6135693f</x:v>
      </x:c>
    </x:row>
    <x:row r="18" ht="87" customHeight="1">
      <x:c r="A18" s="19" t="str">
        <x:v>T13</x:v>
      </x:c>
      <x:c r="B18" s="22" t="str">
        <x:v>否</x:v>
      </x:c>
      <x:c r="C18" s="19" t="str">
        <x:v>替换留档／不计61</x:v>
      </x:c>
      <x:c r="D18" s="19" t="str">
        <x:v>Merom_0_garden</x:v>
      </x:c>
      <x:c r="E18" s="19" t="str">
        <x:v>sauna_0</x:v>
      </x:c>
      <x:c r="F18" s="19" t="str">
        <x:v>Metric Comparison</x:v>
      </x:c>
      <x:c r="G18" s="19" t="str">
        <x:v>Dimensional Size</x:v>
      </x:c>
      <x:c r="H18" s="19" t="str">
        <x:v>Embodied Grounding</x:v>
      </x:c>
      <x:c r="I18" s="19" t="str">
        <x:v>Metric referent selection and delivery (legacy)</x:v>
      </x:c>
      <x:c r="J18" s="19" t="str">
        <x:v>5 个去重相关物体：mug、mug、cactus、ice_cream_cone、table；2目标+2参照+1目的地，地标另计</x:v>
      </x:c>
      <x:c r="K18" s="26" t="str">
        <x:v>房间／可通行面积待测；可用台面见具体风险</x:v>
      </x:c>
      <x:c r="L18" s="19" t="str">
        <x:v>桑拿房内两组比较物体到蓝色投放桌的运输。</x:v>
      </x:c>
      <x:c r="M18" s="19" t="str">
        <x:v>两只 mug 尺度差 20.65%；另有 cactus 与 ice_cream_cone 参照。新增蓝桌使目的地身份清晰，但桑拿房中的分组支撑与运输会把窄空间路线负担加入尺度辨别；未获得房间可行走面积。</x:v>
      </x:c>
      <x:c r="N18" s="19" t="str">
        <x:v>退出 61 项主集并保留尺度控制；维持蓝桌身份唯一，测量杯体抓取姿态与从两候选到蓝桌的实际通路，若保留勿将额外运输失败归因于大小推理。</x:v>
      </x:c>
      <x:c r="O18" s="19" t="str">
        <x:v>当前 task/scene YAML 静态核对；task_yaml。既有 receipt 属历史证据；本次无新物理运行。</x:v>
      </x:c>
      <x:c r="P18" s="30" t="str">
        <x:v>https://github.com/XuanCheg/Show-Harness-Explore/blob/33bada4bb278471b7a925cd8ddfa3d46a19f52fb/explore_to_achieve/tasks/Metric%20Comparison/Dimensional%20Size/Merom_0_garden/sauna_0/corev2__category_401dda068f1b176b02d85350.yaml</x:v>
      </x:c>
      <x:c r="Q18" s="19" t="str">
        <x:v>category_401dda068f1b176b02d85350</x:v>
      </x:c>
    </x:row>
    <x:row r="19" ht="87" customHeight="1">
      <x:c r="A19" s="16" t="str">
        <x:v>T14</x:v>
      </x:c>
      <x:c r="B19" s="21" t="str">
        <x:v>否</x:v>
      </x:c>
      <x:c r="C19" s="16" t="str">
        <x:v>替换留档／不计61</x:v>
      </x:c>
      <x:c r="D19" s="16" t="str">
        <x:v>office_cubicles_right</x:v>
      </x:c>
      <x:c r="E19" s="16" t="str">
        <x:v>bathroom_0</x:v>
      </x:c>
      <x:c r="F19" s="16" t="str">
        <x:v>Metric Comparison</x:v>
      </x:c>
      <x:c r="G19" s="16" t="str">
        <x:v>Dimensional Size</x:v>
      </x:c>
      <x:c r="H19" s="16" t="str">
        <x:v>Embodied Grounding</x:v>
      </x:c>
      <x:c r="I19" s="16" t="str">
        <x:v>Metric referent selection and delivery (legacy)</x:v>
      </x:c>
      <x:c r="J19" s="16" t="str">
        <x:v>5 个去重相关物体：rolling_pin、rolling_pin、pocketknife、ping_pong_paddle、countertop；2目标+2参照+1目的地，地标另计</x:v>
      </x:c>
      <x:c r="K19" s="25" t="str">
        <x:v>房间／可通行面积待测；可用台面见具体风险</x:v>
      </x:c>
      <x:c r="L19" s="16" t="str">
        <x:v>卫生间局部两候选比较和搬运到 countertop。</x:v>
      </x:c>
      <x:c r="M19" s="16" t="str">
        <x:v>两根 rolling_pin 尺度差 24.23%；pocketknife 与 ping_pong_paddle 是参照，目标别名不应重复计数。长杆在卫生间转向和越过台沿需要扫掠空间；语义奇特不等于物理不可行，但会使自然任务定位薄弱。</x:v>
      </x:c>
      <x:c r="N19" s="16" t="str">
        <x:v>退出主集、保留同模型缩放控制；若留作对照，使用可视唯一目的地，记录杆体转向扫掠与台面释放，不能仅凭中心点可达宣称可完成。</x:v>
      </x:c>
      <x:c r="O19" s="16" t="str">
        <x:v>当前 task/scene YAML 静态核对；task_yaml。既有 receipt 属历史证据；本次无新物理运行。</x:v>
      </x:c>
      <x:c r="P19" s="29" t="str">
        <x:v>https://github.com/XuanCheg/Show-Harness-Explore/blob/33bada4bb278471b7a925cd8ddfa3d46a19f52fb/explore_to_achieve/tasks/Metric%20Comparison/Dimensional%20Size/office_cubicles_right/bathroom_0/corev2__category_1d497c942c21724d36621fd0.yaml</x:v>
      </x:c>
      <x:c r="Q19" s="16" t="str">
        <x:v>category_1d497c942c21724d36621fd0</x:v>
      </x:c>
    </x:row>
    <x:row r="20" ht="87" customHeight="1">
      <x:c r="A20" s="19" t="str">
        <x:v>T15</x:v>
      </x:c>
      <x:c r="B20" s="22" t="str">
        <x:v>是</x:v>
      </x:c>
      <x:c r="C20" s="19" t="str">
        <x:v>现有候选／待运行认证</x:v>
      </x:c>
      <x:c r="D20" s="19" t="str">
        <x:v>Beechwood_0_garden</x:v>
      </x:c>
      <x:c r="E20" s="19" t="str">
        <x:v>dining_room_0</x:v>
      </x:c>
      <x:c r="F20" s="19" t="str">
        <x:v>Perceptual Grounding</x:v>
      </x:c>
      <x:c r="G20" s="19" t="str">
        <x:v>Material Transparency</x:v>
      </x:c>
      <x:c r="H20" s="19" t="str">
        <x:v>Geometric Feasibility &amp; Containment</x:v>
      </x:c>
      <x:c r="I20" s="19" t="str">
        <x:v>Transparent-container placement</x:v>
      </x:c>
      <x:c r="J20" s="19" t="str">
        <x:v>2 个去重相关物体：cleansing_bottle、cherry_tomato</x:v>
      </x:c>
      <x:c r="K20" s="26" t="str">
        <x:v>房间／可通行面积待测；可用台面见具体风险</x:v>
      </x:c>
      <x:c r="L20" s="19" t="str">
        <x:v>餐厅台面局部 2 物体插入/包含验证。</x:v>
      </x:c>
      <x:c r="M20" s="19" t="str">
        <x:v>当前 native AABB 显示 cherry_tomato 与 cleansing_bottle 沿 y 相隔约 7.6 mm，支持初态在瓶外，不能视为已在内部的 no-op。瓶身外包围盒约 8.7 cm 宽、番茄约 4.2 cm 宽；瓶口净宽和持物夹爪入口路径均未验证，不能由瓶身宽推断能插入。</x:v>
      </x:c>
      <x:c r="N20" s="19" t="str">
        <x:v>优先测量实际瓶口/瓶颈和番茄通过路径，演示受约束的插入与退出；若口小于可通过几何，调整该任务资产配对或另立适配版本。透明材质是否必需需另设不透明/遮挡对照；当前任务按包含可行性分类。</x:v>
      </x:c>
      <x:c r="O20" s="19" t="str">
        <x:v>当前 task/scene YAML 静态核对；task_yaml；current_native_preview_receipt。既有 receipt 属历史证据；本次无新物理运行。</x:v>
      </x:c>
      <x:c r="P20" s="30" t="str">
        <x:v>https://github.com/XuanCheg/Show-Harness-Explore/blob/33bada4bb278471b7a925cd8ddfa3d46a19f52fb/explore_to_achieve/tasks/Perceptual%20Grounding/Material%20Transparency/Beechwood_0_garden/dining_room_0/corev2__category_a819197786bd511068cee095.yaml</x:v>
      </x:c>
      <x:c r="Q20" s="19" t="str">
        <x:v>category_a819197786bd511068cee095</x:v>
      </x:c>
    </x:row>
    <x:row r="21" ht="87" customHeight="1">
      <x:c r="A21" s="16" t="str">
        <x:v>T16</x:v>
      </x:c>
      <x:c r="B21" s="21" t="str">
        <x:v>是</x:v>
      </x:c>
      <x:c r="C21" s="16" t="str">
        <x:v>现有候选／待运行认证</x:v>
      </x:c>
      <x:c r="D21" s="16" t="str">
        <x:v>restaurant_hotel</x:v>
      </x:c>
      <x:c r="E21" s="16" t="str">
        <x:v>lobby_0</x:v>
      </x:c>
      <x:c r="F21" s="16" t="str">
        <x:v>Perceptual Grounding</x:v>
      </x:c>
      <x:c r="G21" s="16" t="str">
        <x:v>Material Transparency</x:v>
      </x:c>
      <x:c r="H21" s="16" t="str">
        <x:v>Geometric Feasibility &amp; Containment</x:v>
      </x:c>
      <x:c r="I21" s="16" t="str">
        <x:v>Transparent-container placement</x:v>
      </x:c>
      <x:c r="J21" s="16" t="str">
        <x:v>2 个去重相关物体：round_bottom_flask、dice</x:v>
      </x:c>
      <x:c r="K21" s="25" t="str">
        <x:v>房间／可通行面积待测；可用台面见具体风险</x:v>
      </x:c>
      <x:c r="L21" s="16" t="str">
        <x:v>酒店大厅局部 round_bottom_flask 与 dice 的包含任务。</x:v>
      </x:c>
      <x:c r="M21" s="16" t="str">
        <x:v>烧瓶颈口可能比瓶身小得多；dice 的可通过对角线与夹爪退手空间未知。圆底烧瓶本身的支撑稳定性也会影响插入；未读取该项 current native receipt，不能断言初态 inside 或 outside。</x:v>
      </x:c>
      <x:c r="N21" s="16" t="str">
        <x:v>先记录 native Inside 与实际瓶口净几何；初态已 inside 列为包含验证控制，外置实例需证明骰子经过瓶颈的合法运动；保证烧瓶有稳定支撑且不靠移动锚容器绕过要求。</x:v>
      </x:c>
      <x:c r="O21" s="16" t="str">
        <x:v>当前 task/scene YAML 静态核对；task_yaml。既有 receipt 属历史证据；本次无新物理运行。</x:v>
      </x:c>
      <x:c r="P21" s="29" t="str">
        <x:v>https://github.com/XuanCheg/Show-Harness-Explore/blob/33bada4bb278471b7a925cd8ddfa3d46a19f52fb/explore_to_achieve/tasks/Perceptual%20Grounding/Material%20Transparency/restaurant_hotel/lobby_0/corev2__category_54f951b6a29855a51844da54.yaml</x:v>
      </x:c>
      <x:c r="Q21" s="16" t="str">
        <x:v>category_54f951b6a29855a51844da54</x:v>
      </x:c>
    </x:row>
    <x:row r="22" ht="87" customHeight="1">
      <x:c r="A22" s="19" t="str">
        <x:v>T17</x:v>
      </x:c>
      <x:c r="B22" s="22" t="str">
        <x:v>是</x:v>
      </x:c>
      <x:c r="C22" s="19" t="str">
        <x:v>现有候选／待运行认证</x:v>
      </x:c>
      <x:c r="D22" s="19" t="str">
        <x:v>school_gym</x:v>
      </x:c>
      <x:c r="E22" s="19" t="str">
        <x:v>locker_room_1</x:v>
      </x:c>
      <x:c r="F22" s="19" t="str">
        <x:v>Perceptual Grounding</x:v>
      </x:c>
      <x:c r="G22" s="19" t="str">
        <x:v>Material Transparency</x:v>
      </x:c>
      <x:c r="H22" s="19" t="str">
        <x:v>Geometric Feasibility &amp; Containment</x:v>
      </x:c>
      <x:c r="I22" s="19" t="str">
        <x:v>Transparent-container placement</x:v>
      </x:c>
      <x:c r="J22" s="19" t="str">
        <x:v>2 个去重相关物体：solvent_bottle、dice</x:v>
      </x:c>
      <x:c r="K22" s="26" t="str">
        <x:v>房间／可通行面积待测；可用台面见具体风险</x:v>
      </x:c>
      <x:c r="L22" s="19" t="str">
        <x:v>locker_room_1 内 solvent_bottle 与 dice 的局部插入/验证；适配使用 rigid_group 和 measured_surfaces 回退。</x:v>
      </x:c>
      <x:c r="M22" s="19" t="str">
        <x:v>溶剂瓶颈可能限制骰子通过，外部 AABB 不能说明入口。成组重定位保持相对几何不自动保证原始包含关系经过沉降仍成立；更衣间支撑边缘可能限制手部接近和撤回。</x:v>
      </x:c>
      <x:c r="N22" s="19" t="str">
        <x:v>在当前适配完成后记录 t0 Inside，再按需插入和验证两类分层；测量瓶口净宽、骰子对角线与夹爪接近，选择能容纳完整退手动作的支撑面。</x:v>
      </x:c>
      <x:c r="O22" s="19" t="str">
        <x:v>当前 task/scene YAML 静态核对；task_yaml。既有 receipt 属历史证据；本次无新物理运行。</x:v>
      </x:c>
      <x:c r="P22" s="30" t="str">
        <x:v>https://github.com/XuanCheg/Show-Harness-Explore/blob/33bada4bb278471b7a925cd8ddfa3d46a19f52fb/explore_to_achieve/tasks/Perceptual%20Grounding/Material%20Transparency/school_gym/locker_room_1/corev2__category_720f0847910173edaef41d45.yaml</x:v>
      </x:c>
      <x:c r="Q22" s="19" t="str">
        <x:v>category_720f0847910173edaef41d45</x:v>
      </x:c>
    </x:row>
    <x:row r="23" ht="87" customHeight="1">
      <x:c r="A23" s="16" t="str">
        <x:v>T18</x:v>
      </x:c>
      <x:c r="B23" s="21" t="str">
        <x:v>是</x:v>
      </x:c>
      <x:c r="C23" s="16" t="str">
        <x:v>现有候选／待运行认证</x:v>
      </x:c>
      <x:c r="D23" s="16" t="str">
        <x:v>Beechwood_0_garden</x:v>
      </x:c>
      <x:c r="E23" s="16" t="str">
        <x:v>dining_room_0</x:v>
      </x:c>
      <x:c r="F23" s="16" t="str">
        <x:v>Physical Dynamics</x:v>
      </x:c>
      <x:c r="G23" s="16" t="str">
        <x:v>Stacking &amp; Stability</x:v>
      </x:c>
      <x:c r="H23" s="16" t="str">
        <x:v>Physical Construction &amp; Experimentation</x:v>
      </x:c>
      <x:c r="I23" s="16" t="str">
        <x:v>Stability-constrained construction</x:v>
      </x:c>
      <x:c r="J23" s="16" t="str">
        <x:v>3 个去重相关物体：outline_tray、coffee_bean_jar、refried_beans_can</x:v>
      </x:c>
      <x:c r="K23" s="25" t="str">
        <x:v>房间／可通行面积待测；可用台面见具体风险</x:v>
      </x:c>
      <x:c r="L23" s="16" t="str">
        <x:v>餐厅 3 物体塔；源布局与适配工作面须区分。</x:v>
      </x:c>
      <x:c r="M23" s="16" t="str">
        <x:v>source AABB：outline_tray 约 12.6×27.8×4.5 cm，coffee_bean_jar 与 refried_beans_can 均约 15.6×13.0×20.5 cm。后两者整体最小维约 13 cm；在夹爪口径约 10 cm 的系统中，不能假定常规整物侧夹可行。薄托盘的边缘与接触面也影响稳定堆叠。</x:v>
      </x:c>
      <x:c r="N23" s="16" t="str">
        <x:v>验证罐口/局部窄部抓取或合法替代动作，以及托盘边缘可接近性；给三物体一个足够大的共同搭建面，记录完整退手后的支撑链。源 AABB 仅作筛查，不宣判抓取不可行。</x:v>
      </x:c>
      <x:c r="O23" s="16" t="str">
        <x:v>当前 task/scene YAML 静态核对；task_yaml。既有 receipt 属历史证据；本次无新物理运行。</x:v>
      </x:c>
      <x:c r="P23" s="29" t="str">
        <x:v>https://github.com/XuanCheg/Show-Harness-Explore/blob/33bada4bb278471b7a925cd8ddfa3d46a19f52fb/explore_to_achieve/tasks/Physical%20Dynamics/Stacking%20%26%20Stability/Beechwood_0_garden/dining_room_0/corev2__category_6101117684a66f96ee6f4bef.yaml</x:v>
      </x:c>
      <x:c r="Q23" s="16" t="str">
        <x:v>category_6101117684a66f96ee6f4bef</x:v>
      </x:c>
    </x:row>
    <x:row r="24" ht="87" customHeight="1">
      <x:c r="A24" s="19" t="str">
        <x:v>T19</x:v>
      </x:c>
      <x:c r="B24" s="22" t="str">
        <x:v>是</x:v>
      </x:c>
      <x:c r="C24" s="19" t="str">
        <x:v>现有候选／待运行认证</x:v>
      </x:c>
      <x:c r="D24" s="19" t="str">
        <x:v>house_single_floor</x:v>
      </x:c>
      <x:c r="E24" s="19" t="str">
        <x:v>childs_room_0</x:v>
      </x:c>
      <x:c r="F24" s="19" t="str">
        <x:v>Physical Dynamics</x:v>
      </x:c>
      <x:c r="G24" s="19" t="str">
        <x:v>Stacking &amp; Stability</x:v>
      </x:c>
      <x:c r="H24" s="19" t="str">
        <x:v>Physical Construction &amp; Experimentation</x:v>
      </x:c>
      <x:c r="I24" s="19" t="str">
        <x:v>Stability-constrained construction</x:v>
      </x:c>
      <x:c r="J24" s="19" t="str">
        <x:v>3 个去重相关物体：paperback_book、bowl、lunch_box</x:v>
      </x:c>
      <x:c r="K24" s="26" t="str">
        <x:v>房间／可通行面积待测；可用台面见具体风险</x:v>
      </x:c>
      <x:c r="L24" s="19" t="str">
        <x:v>儿童房 3 物体局部塔。</x:v>
      </x:c>
      <x:c r="M24" s="19" t="str">
        <x:v>paperback_book 的 source AABB 厚度仅约 8 mm，平贴桌面时夹指入口可能不足；bowl 的弧面/碗沿与 lunch_box 的平面会使稳定接触顺序非平凡。独立支撑布局增加的移动负担应与塔推理解耦。</x:v>
      </x:c>
      <x:c r="N24" s="19" t="str">
        <x:v>提供不改变书厚度的可接近边缘或验证真实薄书抓取；确认碗沿形成稳定承托的可行顺序，并保留至少一个合法物理完成示范。</x:v>
      </x:c>
      <x:c r="O24" s="19" t="str">
        <x:v>当前 task/scene YAML 静态核对；task_yaml。既有 receipt 属历史证据；本次无新物理运行。</x:v>
      </x:c>
      <x:c r="P24" s="30" t="str">
        <x:v>https://github.com/XuanCheg/Show-Harness-Explore/blob/33bada4bb278471b7a925cd8ddfa3d46a19f52fb/explore_to_achieve/tasks/Physical%20Dynamics/Stacking%20%26%20Stability/house_single_floor/childs_room_0/corev2__category_4c36dd4dc5bbbe9bc7e787d1.yaml</x:v>
      </x:c>
      <x:c r="Q24" s="19" t="str">
        <x:v>category_4c36dd4dc5bbbe9bc7e787d1</x:v>
      </x:c>
    </x:row>
    <x:row r="25" ht="87" customHeight="1">
      <x:c r="A25" s="16" t="str">
        <x:v>T20</x:v>
      </x:c>
      <x:c r="B25" s="21" t="str">
        <x:v>是</x:v>
      </x:c>
      <x:c r="C25" s="16" t="str">
        <x:v>现有候选／待运行认证</x:v>
      </x:c>
      <x:c r="D25" s="16" t="str">
        <x:v>office_cubicles_right</x:v>
      </x:c>
      <x:c r="E25" s="16" t="str">
        <x:v>lobby_0</x:v>
      </x:c>
      <x:c r="F25" s="16" t="str">
        <x:v>Physical Dynamics</x:v>
      </x:c>
      <x:c r="G25" s="16" t="str">
        <x:v>Stacking &amp; Stability</x:v>
      </x:c>
      <x:c r="H25" s="16" t="str">
        <x:v>Physical Construction &amp; Experimentation</x:v>
      </x:c>
      <x:c r="I25" s="16" t="str">
        <x:v>Stability-constrained construction</x:v>
      </x:c>
      <x:c r="J25" s="16" t="str">
        <x:v>3 个去重相关物体：can_of_tomatoes、mixing_bowl、tomato_sauce_jar</x:v>
      </x:c>
      <x:c r="K25" s="25" t="str">
        <x:v>房间／可通行面积待测；可用台面见具体风险</x:v>
      </x:c>
      <x:c r="L25" s="16" t="str">
        <x:v>办公楼大厅局部三物体塔，整个大厅不是有效操作面积。</x:v>
      </x:c>
      <x:c r="M25" s="16" t="str">
        <x:v>source AABB：mixing_bowl 约 29.3×25.9×14.2 cm，tomato_sauce_jar 约 15.6×13.0×20.5 cm，均存在整体跨越 10 cm 夹爪宽度的筛查问题；can_of_tomatoes 约 8.5×8.5×11.8 cm 较小。碗沿局部抓取可能成立，尚不能仅按整体宽度淘汰。</x:v>
      </x:c>
      <x:c r="N25" s="16" t="str">
        <x:v>优先示范碗沿和罐体局部抓取；共同搭建面的可用宽度需容纳大碗及夹爪退出空间，使用近景/局部视野维持可辨识度，不为大厅面积增加无关导航。</x:v>
      </x:c>
      <x:c r="O25" s="16" t="str">
        <x:v>当前 task/scene YAML 静态核对；task_yaml。既有 receipt 属历史证据；本次无新物理运行。</x:v>
      </x:c>
      <x:c r="P25" s="29" t="str">
        <x:v>https://github.com/XuanCheg/Show-Harness-Explore/blob/33bada4bb278471b7a925cd8ddfa3d46a19f52fb/explore_to_achieve/tasks/Physical%20Dynamics/Stacking%20%26%20Stability/office_cubicles_right/lobby_0/corev2__category_32485510e87a6ad8f32178d7.yaml</x:v>
      </x:c>
      <x:c r="Q25" s="16" t="str">
        <x:v>category_32485510e87a6ad8f32178d7</x:v>
      </x:c>
    </x:row>
    <x:row r="26" ht="87" customHeight="1">
      <x:c r="A26" s="19" t="str">
        <x:v>T21</x:v>
      </x:c>
      <x:c r="B26" s="22" t="str">
        <x:v>是</x:v>
      </x:c>
      <x:c r="C26" s="19" t="str">
        <x:v>现有候选／待运行认证</x:v>
      </x:c>
      <x:c r="D26" s="19" t="str">
        <x:v>restaurant_asian</x:v>
      </x:c>
      <x:c r="E26" s="19" t="str">
        <x:v>bathroom_0</x:v>
      </x:c>
      <x:c r="F26" s="19" t="str">
        <x:v>Physical Dynamics</x:v>
      </x:c>
      <x:c r="G26" s="19" t="str">
        <x:v>Stacking &amp; Stability</x:v>
      </x:c>
      <x:c r="H26" s="19" t="str">
        <x:v>Physical Construction &amp; Experimentation</x:v>
      </x:c>
      <x:c r="I26" s="19" t="str">
        <x:v>Stability-constrained construction</x:v>
      </x:c>
      <x:c r="J26" s="19" t="str">
        <x:v>3 个去重相关物体：chopping_board、shoe_box、box_of_cookies</x:v>
      </x:c>
      <x:c r="K26" s="26" t="str">
        <x:v>房间／可通行面积待测；可用台面见具体风险</x:v>
      </x:c>
      <x:c r="L26" s="19" t="str">
        <x:v>restaurant_asian/bathroom_0；3 物体分别在 3 张新增支撑桌上，再组合成塔。</x:v>
      </x:c>
      <x:c r="M26" s="19" t="str">
        <x:v>当前 native 不是一张共同工作台：桌面尺寸分别约 0.45×0.474、0.45×0.40、0.45×0.40 m，高均 0.5 m。浴室加三桌会引入跨桌搬运、底盘回转与夹爪接近负担；只证明桌脚落在地板上，不等于通路足够。</x:v>
      </x:c>
      <x:c r="N26" s="19" t="str">
        <x:v>将该项列为场景适配优先复核；测量三桌间有效通路和一张桌的最终塔余量。若不满足，建立独立新适配版本，使用更合适工作房间或合并可达工作区；不能仅因房间叫浴室直接判不可行。</x:v>
      </x:c>
      <x:c r="O26" s="19" t="str">
        <x:v>当前 task/scene YAML 静态核对；task_yaml；current_native_preview_receipt。既有 receipt 属历史证据；本次无新物理运行。</x:v>
      </x:c>
      <x:c r="P26" s="30" t="str">
        <x:v>https://github.com/XuanCheg/Show-Harness-Explore/blob/33bada4bb278471b7a925cd8ddfa3d46a19f52fb/explore_to_achieve/tasks/Physical%20Dynamics/Stacking%20%26%20Stability/restaurant_asian/bathroom_0/corev2__category_ff15948e066184024f87df96.yaml</x:v>
      </x:c>
      <x:c r="Q26" s="19" t="str">
        <x:v>category_ff15948e066184024f87df96</x:v>
      </x:c>
    </x:row>
    <x:row r="27" ht="87" customHeight="1">
      <x:c r="A27" s="16" t="str">
        <x:v>T22</x:v>
      </x:c>
      <x:c r="B27" s="21" t="str">
        <x:v>是</x:v>
      </x:c>
      <x:c r="C27" s="16" t="str">
        <x:v>现有候选／待运行认证</x:v>
      </x:c>
      <x:c r="D27" s="16" t="str">
        <x:v>Beechwood_0_int</x:v>
      </x:c>
      <x:c r="E27" s="16" t="str">
        <x:v>living_room_1</x:v>
      </x:c>
      <x:c r="F27" s="16" t="str">
        <x:v>Physical Structure</x:v>
      </x:c>
      <x:c r="G27" s="16" t="str">
        <x:v>Rigid Containment</x:v>
      </x:c>
      <x:c r="H27" s="16" t="str">
        <x:v>Geometric Feasibility &amp; Containment</x:v>
      </x:c>
      <x:c r="I27" s="16" t="str">
        <x:v>Container selection and partial insertion</x:v>
      </x:c>
      <x:c r="J27" s="16" t="str">
        <x:v>1 个目标 + 3 个候选容器</x:v>
      </x:c>
      <x:c r="K27" s="25" t="str">
        <x:v>房间／可通行面积待测；局部尺度见范围列</x:v>
      </x:c>
      <x:c r="L27" s="16" t="str">
        <x:v>抓取、运输、稳定部分插入；端点欧氏距离 3.77–3.77 m，非可行路径</x:v>
      </x:c>
      <x:c r="M27" s="16" t="str">
        <x:v>1个gift_box目标、3个同类packing_box容器；目标到容器桌中心声明欧氏距离3.7697m。当前资格收据支持成立；目标整体AABB约24.5×18.5×28.5cm，不能用10cm夹爪开口直接包络，须验证局部可夹部位。</x:v>
      </x:c>
      <x:c r="N27" s="16" t="str">
        <x:v>保留人工审核布局，优先实际抓取检查</x:v>
      </x:c>
      <x:c r="O27" s="16" t="str">
        <x:v>当前 manifest/task/scene 静态核对；部分尺寸、初态、被动斜坡结果来自仓库既有 Native 收据；本次未运行新的机器人或 Agent 实验。</x:v>
      </x:c>
      <x:c r="P27" s="29" t="str">
        <x:v>https://github.com/XuanCheg/Show-Harness-Explore/blob/33bada4bb278471b7a925cd8ddfa3d46a19f52fb/explore_to_achieve/tasks/Physical%20Structure/Rigid%20Containment/Beechwood_0_int/living_room_1/Beechwood_0_int_scene_dict_storage2_0_revised.yaml</x:v>
      </x:c>
      <x:c r="Q27" s="16" t="str">
        <x:v>category_e58c1c507e7cc7a429b80bd9</x:v>
      </x:c>
    </x:row>
    <x:row r="28" ht="102" customHeight="1">
      <x:c r="A28" s="19" t="str">
        <x:v>T23</x:v>
      </x:c>
      <x:c r="B28" s="22" t="str">
        <x:v>是</x:v>
      </x:c>
      <x:c r="C28" s="19" t="str">
        <x:v>现有候选／待运行认证</x:v>
      </x:c>
      <x:c r="D28" s="19" t="str">
        <x:v>Beechwood_1_int</x:v>
      </x:c>
      <x:c r="E28" s="19" t="str">
        <x:v>television_room_0</x:v>
      </x:c>
      <x:c r="F28" s="19" t="str">
        <x:v>Physical Structure</x:v>
      </x:c>
      <x:c r="G28" s="19" t="str">
        <x:v>Rigid Containment</x:v>
      </x:c>
      <x:c r="H28" s="19" t="str">
        <x:v>Geometric Feasibility &amp; Containment</x:v>
      </x:c>
      <x:c r="I28" s="19" t="str">
        <x:v>Container selection and partial insertion</x:v>
      </x:c>
      <x:c r="J28" s="19" t="str">
        <x:v>3 个目标 + 3 个候选容器</x:v>
      </x:c>
      <x:c r="K28" s="26" t="str">
        <x:v>房间／可通行面积待测；局部尺度见范围列</x:v>
      </x:c>
      <x:c r="L28" s="19" t="str">
        <x:v>抓取、运输、稳定部分插入；端点欧氏距离 1.20–1.51 m，非可行路径</x:v>
      </x:c>
      <x:c r="M28" s="19" t="str">
        <x:v>3个目标granola_box/spray_can/colored_pencil，3个容器bucket/wicker_basket/mug；目标到容器桌声明欧氏距离1.20–1.51m。允许验证后移除物体释放共享容器，评分不是要求所有目标永久同时在容器内。</x:v>
      </x:c>
      <x:c r="N28" s="19" t="str">
        <x:v>保留为多目标容纳约束操作</x:v>
      </x:c>
      <x:c r="O28" s="19" t="str">
        <x:v>当前 manifest/task/scene 静态核对；部分尺寸、初态、被动斜坡结果来自仓库既有 Native 收据；本次未运行新的机器人或 Agent 实验。</x:v>
      </x:c>
      <x:c r="P28" s="30" t="str">
        <x:v>https://github.com/XuanCheg/Show-Harness-Explore/blob/33bada4bb278471b7a925cd8ddfa3d46a19f52fb/explore_to_achieve/tasks/Physical%20Structure/Rigid%20Containment/Beechwood_1_int/television_room_0/Beechwood_1_int_scene_dict_storage2_1_revised__criterion_4.yaml</x:v>
      </x:c>
      <x:c r="Q28" s="19" t="str">
        <x:v>category_8644156dec67b0eaddf1472a</x:v>
      </x:c>
    </x:row>
    <x:row r="29" ht="87" customHeight="1">
      <x:c r="A29" s="16" t="str">
        <x:v>T24</x:v>
      </x:c>
      <x:c r="B29" s="21" t="str">
        <x:v>是</x:v>
      </x:c>
      <x:c r="C29" s="16" t="str">
        <x:v>现有候选／待运行认证</x:v>
      </x:c>
      <x:c r="D29" s="16" t="str">
        <x:v>Ihlen_1_int</x:v>
      </x:c>
      <x:c r="E29" s="16" t="str">
        <x:v>living_room_0</x:v>
      </x:c>
      <x:c r="F29" s="16" t="str">
        <x:v>Physical Structure</x:v>
      </x:c>
      <x:c r="G29" s="16" t="str">
        <x:v>Rigid Containment</x:v>
      </x:c>
      <x:c r="H29" s="16" t="str">
        <x:v>Geometric Feasibility &amp; Containment</x:v>
      </x:c>
      <x:c r="I29" s="16" t="str">
        <x:v>Container selection and partial insertion</x:v>
      </x:c>
      <x:c r="J29" s="16" t="str">
        <x:v>1 个目标 + 3 个候选容器</x:v>
      </x:c>
      <x:c r="K29" s="25" t="str">
        <x:v>房间／可通行面积待测；局部尺度见范围列</x:v>
      </x:c>
      <x:c r="L29" s="16" t="str">
        <x:v>抓取、运输、稳定部分插入；端点欧氏距离 0.96–0.96 m，非可行路径</x:v>
      </x:c>
      <x:c r="M29" s="16" t="str">
        <x:v>1个first_aid_kit、3个容器tote/packing_box/mug；声明欧氏距离0.9617m，不是真实运输距离。需检查first_aid_kit的可夹边/把手、容器开口及手部撤出。</x:v>
      </x:c>
      <x:c r="N29" s="16" t="str">
        <x:v>保留为单目标容纳约束操作</x:v>
      </x:c>
      <x:c r="O29" s="16" t="str">
        <x:v>当前 manifest/task/scene 静态核对；部分尺寸、初态、被动斜坡结果来自仓库既有 Native 收据；本次未运行新的机器人或 Agent 实验。</x:v>
      </x:c>
      <x:c r="P29" s="29" t="str">
        <x:v>https://github.com/XuanCheg/Show-Harness-Explore/blob/33bada4bb278471b7a925cd8ddfa3d46a19f52fb/explore_to_achieve/tasks/Physical%20Structure/Rigid%20Containment/Ihlen_1_int/living_room_0/Ihlen_1_int_scene_dict_storage2_1_revised.yaml</x:v>
      </x:c>
      <x:c r="Q29" s="16" t="str">
        <x:v>category_b1fffff9aef66e7517638538</x:v>
      </x:c>
    </x:row>
    <x:row r="30" ht="87" customHeight="1">
      <x:c r="A30" s="19" t="str">
        <x:v>T25</x:v>
      </x:c>
      <x:c r="B30" s="22" t="str">
        <x:v>是</x:v>
      </x:c>
      <x:c r="C30" s="19" t="str">
        <x:v>现有候选／待运行认证</x:v>
      </x:c>
      <x:c r="D30" s="19" t="str">
        <x:v>hall_arch_wood</x:v>
      </x:c>
      <x:c r="E30" s="19" t="str">
        <x:v>empty_room_0</x:v>
      </x:c>
      <x:c r="F30" s="19" t="str">
        <x:v>Physical Structure</x:v>
      </x:c>
      <x:c r="G30" s="19" t="str">
        <x:v>Rigid Containment</x:v>
      </x:c>
      <x:c r="H30" s="19" t="str">
        <x:v>Geometric Feasibility &amp; Containment</x:v>
      </x:c>
      <x:c r="I30" s="19" t="str">
        <x:v>Container selection and partial insertion</x:v>
      </x:c>
      <x:c r="J30" s="19" t="str">
        <x:v>1 个目标 + 3 个候选容器</x:v>
      </x:c>
      <x:c r="K30" s="26" t="str">
        <x:v>房间／可通行面积待测；局部尺度见范围列</x:v>
      </x:c>
      <x:c r="L30" s="19" t="str">
        <x:v>抓取、运输、稳定部分插入；端点欧氏距离 3.23–3.23 m，非可行路径</x:v>
      </x:c>
      <x:c r="M30" s="19" t="str">
        <x:v>1个banana、3个容器wicker_basket/tupperware/bowl，声明欧氏距离3.2304m。当前柱体修复资格收据支持稳定、robot_nonfloor_contacts=[]、furniture_aabb_overlap_candidates=[]；不要把旧柱体问题重复当现状。</x:v>
      </x:c>
      <x:c r="N30" s="19" t="str">
        <x:v>保留已修复布局，以当前证据继续验证</x:v>
      </x:c>
      <x:c r="O30" s="19" t="str">
        <x:v>当前 manifest/task/scene 静态核对；部分尺寸、初态、被动斜坡结果来自仓库既有 Native 收据；本次未运行新的机器人或 Agent 实验。</x:v>
      </x:c>
      <x:c r="P30" s="30" t="str">
        <x:v>https://github.com/XuanCheg/Show-Harness-Explore/blob/33bada4bb278471b7a925cd8ddfa3d46a19f52fb/explore_to_achieve/tasks/Physical%20Structure/Rigid%20Containment/hall_arch_wood/empty_room_0/corev2__category_654f8bfa37612193a879dd59__pillar_repair.yaml</x:v>
      </x:c>
      <x:c r="Q30" s="19" t="str">
        <x:v>category_654f8bfa37612193a879dd59</x:v>
      </x:c>
    </x:row>
    <x:row r="31" ht="87" customHeight="1">
      <x:c r="A31" s="16" t="str">
        <x:v>T26</x:v>
      </x:c>
      <x:c r="B31" s="21" t="str">
        <x:v>是</x:v>
      </x:c>
      <x:c r="C31" s="16" t="str">
        <x:v>现有候选／待运行认证</x:v>
      </x:c>
      <x:c r="D31" s="16" t="str">
        <x:v>Beechwood_0_garden</x:v>
      </x:c>
      <x:c r="E31" s="16" t="str">
        <x:v>utility_room_0</x:v>
      </x:c>
      <x:c r="F31" s="16" t="str">
        <x:v>Spatial Relations</x:v>
      </x:c>
      <x:c r="G31" s="16" t="str">
        <x:v>Geometric Configuration</x:v>
      </x:c>
      <x:c r="H31" s="16" t="str">
        <x:v>Spatial Reconfiguration</x:v>
      </x:c>
      <x:c r="I31" s="16" t="str">
        <x:v>Planar geometric arrangement</x:v>
      </x:c>
      <x:c r="J31" s="16" t="str">
        <x:v>3 个去重相关物体：lime_juice_bottle、bottle_of_vinegar、jar_of_jam</x:v>
      </x:c>
      <x:c r="K31" s="25" t="str">
        <x:v>房间／可通行面积待测；可用台面见具体风险</x:v>
      </x:c>
      <x:c r="L31" s="16" t="str">
        <x:v>utility_room_0 三点等边三角形工作区。</x:v>
      </x:c>
      <x:c r="M31" s="16" t="str">
        <x:v>三个参与物体是 lime_juice_bottle、bottle_of_vinegar、jar_of_jam；source 位置范围约 0.519×0.449 m，但这是历史布局而非当前可操作桌面。随机非目标初态要求真实移动，桌边/墙面必须为全部顶点留下余量。</x:v>
      </x:c>
      <x:c r="N31" s="16" t="str">
        <x:v>在同一稳定平台上测量 seeded 初态与目标三角形的可达包络；评价按已定义水平 AABB 中心并保留朝向；保持真实重排门槛，避免误标为可 no-op 的静态几何问答。</x:v>
      </x:c>
      <x:c r="O31" s="16" t="str">
        <x:v>当前 task/scene YAML 静态核对；task_yaml。既有 receipt 属历史证据；本次无新物理运行。</x:v>
      </x:c>
      <x:c r="P31" s="29" t="str">
        <x:v>https://github.com/XuanCheg/Show-Harness-Explore/blob/33bada4bb278471b7a925cd8ddfa3d46a19f52fb/explore_to_achieve/tasks/Spatial%20Relations/Geometric%20Configuration/Beechwood_0_garden/utility_room_0/corev2__category_bdb79bcc5beee90cfb942a32.yaml</x:v>
      </x:c>
      <x:c r="Q31" s="16" t="str">
        <x:v>category_bdb79bcc5beee90cfb942a32</x:v>
      </x:c>
    </x:row>
    <x:row r="32" ht="87" customHeight="1">
      <x:c r="A32" s="19" t="str">
        <x:v>T27</x:v>
      </x:c>
      <x:c r="B32" s="22" t="str">
        <x:v>是</x:v>
      </x:c>
      <x:c r="C32" s="19" t="str">
        <x:v>现有候选／待运行认证</x:v>
      </x:c>
      <x:c r="D32" s="19" t="str">
        <x:v>Beechwood_0_garden</x:v>
      </x:c>
      <x:c r="E32" s="19" t="str">
        <x:v>garden_0</x:v>
      </x:c>
      <x:c r="F32" s="19" t="str">
        <x:v>Spatial Relations</x:v>
      </x:c>
      <x:c r="G32" s="19" t="str">
        <x:v>Geometric Configuration</x:v>
      </x:c>
      <x:c r="H32" s="19" t="str">
        <x:v>Spatial Reconfiguration</x:v>
      </x:c>
      <x:c r="I32" s="19" t="str">
        <x:v>Planar geometric arrangement</x:v>
      </x:c>
      <x:c r="J32" s="19" t="str">
        <x:v>3 个去重相关物体：vase、snow_globe、alarm_clock</x:v>
      </x:c>
      <x:c r="K32" s="26" t="str">
        <x:v>房间／可通行面积待测；可用台面见具体风险</x:v>
      </x:c>
      <x:c r="L32" s="19" t="str">
        <x:v>garden_0 中三物体的局部等边排列。</x:v>
      </x:c>
      <x:c r="M32" s="19" t="str">
        <x:v>vase、snow_globe、alarm_clock 外形差异导致可视中心与 AABB 中心不一致；花园大范围自由空间不等于物体各顶点可在同一支撑面稳定释放。独立物体底座与玻璃球视觉特性可能加入非目标难度。</x:v>
      </x:c>
      <x:c r="N32" s="19" t="str">
        <x:v>选定三物体共同可达的稳定平台，验证各底座落稳与三角形外包络；统一中心定义并报告允许误差，任务范围限制在平台邻域，不人为加花园遍历。</x:v>
      </x:c>
      <x:c r="O32" s="19" t="str">
        <x:v>当前 task/scene YAML 静态核对；task_yaml。既有 receipt 属历史证据；本次无新物理运行。</x:v>
      </x:c>
      <x:c r="P32" s="30" t="str">
        <x:v>https://github.com/XuanCheg/Show-Harness-Explore/blob/33bada4bb278471b7a925cd8ddfa3d46a19f52fb/explore_to_achieve/tasks/Spatial%20Relations/Geometric%20Configuration/Beechwood_0_garden/garden_0/corev2__category_abfc72cb2d4b9fb983221f89.yaml</x:v>
      </x:c>
      <x:c r="Q32" s="19" t="str">
        <x:v>category_abfc72cb2d4b9fb983221f89</x:v>
      </x:c>
    </x:row>
    <x:row r="33" ht="87" customHeight="1">
      <x:c r="A33" s="16" t="str">
        <x:v>T28</x:v>
      </x:c>
      <x:c r="B33" s="21" t="str">
        <x:v>是</x:v>
      </x:c>
      <x:c r="C33" s="16" t="str">
        <x:v>现有候选／待运行认证</x:v>
      </x:c>
      <x:c r="D33" s="16" t="str">
        <x:v>Beechwood_0_garden</x:v>
      </x:c>
      <x:c r="E33" s="16" t="str">
        <x:v>kitchen_0</x:v>
      </x:c>
      <x:c r="F33" s="16" t="str">
        <x:v>Spatial Relations</x:v>
      </x:c>
      <x:c r="G33" s="16" t="str">
        <x:v>Geometric Configuration</x:v>
      </x:c>
      <x:c r="H33" s="16" t="str">
        <x:v>Spatial Reconfiguration</x:v>
      </x:c>
      <x:c r="I33" s="16" t="str">
        <x:v>Planar geometric arrangement</x:v>
      </x:c>
      <x:c r="J33" s="16" t="str">
        <x:v>3 个去重相关物体：jar_of_sugar、thyme_shaker、vinegar_bottle</x:v>
      </x:c>
      <x:c r="K33" s="25" t="str">
        <x:v>房间／可通行面积待测；可用台面见具体风险</x:v>
      </x:c>
      <x:c r="L33" s="16" t="str">
        <x:v>kitchen_0 台面上三物体等腰排列。</x:v>
      </x:c>
      <x:c r="M33" s="16" t="str">
        <x:v>jar_of_sugar、thyme_shaker、vinegar_bottle 三点在拥挤厨房可能有可达面不连通问题；等腰若未区分等边或近共线，评价可能与其他三角形任务重合，此处是需核对的定义风险，不断言已有 bug。</x:v>
      </x:c>
      <x:c r="N33" s="16" t="str">
        <x:v>明确是否允许等边属于等腰，并设置非退化面积/边距；测量实际台面空白区域能容纳全部三个目标点与退手，不用房间总面积替代。</x:v>
      </x:c>
      <x:c r="O33" s="16" t="str">
        <x:v>当前 task/scene YAML 静态核对；task_yaml。既有 receipt 属历史证据；本次无新物理运行。</x:v>
      </x:c>
      <x:c r="P33" s="29" t="str">
        <x:v>https://github.com/XuanCheg/Show-Harness-Explore/blob/33bada4bb278471b7a925cd8ddfa3d46a19f52fb/explore_to_achieve/tasks/Spatial%20Relations/Geometric%20Configuration/Beechwood_0_garden/kitchen_0/corev2__category_1bb95023d01fbe5c29601ab3.yaml</x:v>
      </x:c>
      <x:c r="Q33" s="16" t="str">
        <x:v>category_1bb95023d01fbe5c29601ab3</x:v>
      </x:c>
    </x:row>
    <x:row r="34" ht="87" customHeight="1">
      <x:c r="A34" s="19" t="str">
        <x:v>T29</x:v>
      </x:c>
      <x:c r="B34" s="22" t="str">
        <x:v>是</x:v>
      </x:c>
      <x:c r="C34" s="19" t="str">
        <x:v>现有候选／待运行认证</x:v>
      </x:c>
      <x:c r="D34" s="19" t="str">
        <x:v>Beechwood_0_int</x:v>
      </x:c>
      <x:c r="E34" s="19" t="str">
        <x:v>kitchen_0</x:v>
      </x:c>
      <x:c r="F34" s="19" t="str">
        <x:v>Spatial Relations</x:v>
      </x:c>
      <x:c r="G34" s="19" t="str">
        <x:v>Geometric Configuration</x:v>
      </x:c>
      <x:c r="H34" s="19" t="str">
        <x:v>Spatial Reconfiguration</x:v>
      </x:c>
      <x:c r="I34" s="19" t="str">
        <x:v>Planar geometric arrangement</x:v>
      </x:c>
      <x:c r="J34" s="19" t="str">
        <x:v>3 个去重相关物体：salt_shaker、bottle_of_lemon_juice、erlenmeyer_flask</x:v>
      </x:c>
      <x:c r="K34" s="26" t="str">
        <x:v>房间／可通行面积待测；可用台面见具体风险</x:v>
      </x:c>
      <x:c r="L34" s="19" t="str">
        <x:v>Beechwood_0_int 厨房台面三点等边排列。</x:v>
      </x:c>
      <x:c r="M34" s="19" t="str">
        <x:v>salt_shaker、bottle_of_lemon_juice、erlenmeyer_flask 涉及宽底烧瓶与细颈抓取；靠墙台面可压缩三角形后侧顶点的手臂接近空间。仅知道物体数 3，尚无 current native 工作面净尺寸。</x:v>
      </x:c>
      <x:c r="N34" s="19" t="str">
        <x:v>验证烧瓶局部抓取和三顶点同平台可达，给墙侧与台边留出持物夹爪余量；使用目标形状误差和真实位移联合验收。</x:v>
      </x:c>
      <x:c r="O34" s="19" t="str">
        <x:v>当前 task/scene YAML 静态核对；task_yaml。既有 receipt 属历史证据；本次无新物理运行。</x:v>
      </x:c>
      <x:c r="P34" s="30" t="str">
        <x:v>https://github.com/XuanCheg/Show-Harness-Explore/blob/33bada4bb278471b7a925cd8ddfa3d46a19f52fb/explore_to_achieve/tasks/Spatial%20Relations/Geometric%20Configuration/Beechwood_0_int/kitchen_0/corev2__category_be95222ebb4493f9b61d87fd.yaml</x:v>
      </x:c>
      <x:c r="Q34" s="19" t="str">
        <x:v>category_be95222ebb4493f9b61d87fd</x:v>
      </x:c>
    </x:row>
    <x:row r="35" ht="87" customHeight="1">
      <x:c r="A35" s="16" t="str">
        <x:v>T30</x:v>
      </x:c>
      <x:c r="B35" s="21" t="str">
        <x:v>是</x:v>
      </x:c>
      <x:c r="C35" s="16" t="str">
        <x:v>现有候选／待运行认证</x:v>
      </x:c>
      <x:c r="D35" s="16" t="str">
        <x:v>Beechwood_0_garden</x:v>
      </x:c>
      <x:c r="E35" s="16" t="str">
        <x:v>private_office_0</x:v>
      </x:c>
      <x:c r="F35" s="16" t="str">
        <x:v>Spatial Relations</x:v>
      </x:c>
      <x:c r="G35" s="16" t="str">
        <x:v>Linear Alignment</x:v>
      </x:c>
      <x:c r="H35" s="16" t="str">
        <x:v>Spatial Reconfiguration</x:v>
      </x:c>
      <x:c r="I35" s="16" t="str">
        <x:v>Collinear arrangement</x:v>
      </x:c>
      <x:c r="J35" s="16" t="str">
        <x:v>3 个去重相关物体：bottle_of_vodka、liquid_soap_bottle、pepper_grinder</x:v>
      </x:c>
      <x:c r="K35" s="25" t="str">
        <x:v>房间／可通行面积待测；可用台面见具体风险</x:v>
      </x:c>
      <x:c r="L35" s="16" t="str">
        <x:v>私人办公室桌面 3 物体共线任务。</x:v>
      </x:c>
      <x:c r="M35" s="16" t="str">
        <x:v>bottle_of_vodka、liquid_soap_bottle、pepper_grinder 共 3 件；合约允许 already-satisfied no-op，因此当前得分不能直接解释为操纵。过短的线段或几乎重合的中心可能使共线目标缺乏实际重排意义，需查验间距定义。</x:v>
      </x:c>
      <x:c r="N35" s="16" t="str">
        <x:v>将初态已共线实例标为验证控制；动作实例明确最小分离/线段长度与稳定释放条件，确保同一桌面的线段长度及端点手部空间足够。</x:v>
      </x:c>
      <x:c r="O35" s="16" t="str">
        <x:v>当前 task/scene YAML 静态核对；task_yaml。既有 receipt 属历史证据；本次无新物理运行。</x:v>
      </x:c>
      <x:c r="P35" s="29" t="str">
        <x:v>https://github.com/XuanCheg/Show-Harness-Explore/blob/33bada4bb278471b7a925cd8ddfa3d46a19f52fb/explore_to_achieve/tasks/Spatial%20Relations/Linear%20Alignment/Beechwood_0_garden/private_office_0/corev2__category_309ff5d1a6ed664bd8726e4b.yaml</x:v>
      </x:c>
      <x:c r="Q35" s="16" t="str">
        <x:v>category_309ff5d1a6ed664bd8726e4b</x:v>
      </x:c>
    </x:row>
    <x:row r="36" ht="87" customHeight="1">
      <x:c r="A36" s="19" t="str">
        <x:v>T31</x:v>
      </x:c>
      <x:c r="B36" s="22" t="str">
        <x:v>是</x:v>
      </x:c>
      <x:c r="C36" s="19" t="str">
        <x:v>现有候选／待运行认证</x:v>
      </x:c>
      <x:c r="D36" s="19" t="str">
        <x:v>house_double_floor_lower</x:v>
      </x:c>
      <x:c r="E36" s="19" t="str">
        <x:v>corridor_0</x:v>
      </x:c>
      <x:c r="F36" s="19" t="str">
        <x:v>Spatial Relations</x:v>
      </x:c>
      <x:c r="G36" s="19" t="str">
        <x:v>Physical Contact</x:v>
      </x:c>
      <x:c r="H36" s="19" t="str">
        <x:v>Spatial Reconfiguration</x:v>
      </x:c>
      <x:c r="I36" s="19" t="str">
        <x:v>Contact or separation regulation</x:v>
      </x:c>
      <x:c r="J36" s="19" t="str">
        <x:v>2 个去重相关物体：violin、backpack</x:v>
      </x:c>
      <x:c r="K36" s="26" t="str">
        <x:v>房间／可通行面积待测；可用台面见具体风险</x:v>
      </x:c>
      <x:c r="L36" s="19" t="str">
        <x:v>house_double_floor_lower 走廊中 violin 与 backpack；violin 是可移动目标，backpack 为锚。</x:v>
      </x:c>
      <x:c r="M36" s="19" t="str">
        <x:v>当前 aperture_screen 的 violin AABB 约 60.26×21.23×10.54 cm，最小维略超 10 cm 夹爪且本地握持未验证；这不排除琴颈抓取/推移。新增支撑桌约 1.069×0.698 m，会占用走廊；必须检查底盘回转、分离后落点和退手。</x:v>
      </x:c>
      <x:c r="N36" s="19" t="str">
        <x:v>列为最高优先级可执行性复核：验证琴颈局部抓取或合约允许的推移动作，并测量桌侧净通路。若无合法完成路径，改用独立适配版本/资产对；禁止为过检而静默缩小 violin。</x:v>
      </x:c>
      <x:c r="O36" s="19" t="str">
        <x:v>当前 task/scene YAML 静态核对；task_yaml；current_native_preview_receipt。既有 receipt 属历史证据；本次无新物理运行。</x:v>
      </x:c>
      <x:c r="P36" s="30" t="str">
        <x:v>https://github.com/XuanCheg/Show-Harness-Explore/blob/33bada4bb278471b7a925cd8ddfa3d46a19f52fb/explore_to_achieve/tasks/Spatial%20Relations/Physical%20Contact/house_double_floor_lower/corridor_0/corev2__category_93025169f0b17c9183a2fdd9.yaml</x:v>
      </x:c>
      <x:c r="Q36" s="19" t="str">
        <x:v>category_93025169f0b17c9183a2fdd9</x:v>
      </x:c>
    </x:row>
    <x:row r="37" ht="87" customHeight="1">
      <x:c r="A37" s="16" t="str">
        <x:v>T32</x:v>
      </x:c>
      <x:c r="B37" s="21" t="str">
        <x:v>是</x:v>
      </x:c>
      <x:c r="C37" s="16" t="str">
        <x:v>现有候选／待运行认证</x:v>
      </x:c>
      <x:c r="D37" s="16" t="str">
        <x:v>house_single_floor</x:v>
      </x:c>
      <x:c r="E37" s="16" t="str">
        <x:v>living_room_0</x:v>
      </x:c>
      <x:c r="F37" s="16" t="str">
        <x:v>Spatial Relations</x:v>
      </x:c>
      <x:c r="G37" s="16" t="str">
        <x:v>Physical Contact</x:v>
      </x:c>
      <x:c r="H37" s="16" t="str">
        <x:v>Spatial Reconfiguration</x:v>
      </x:c>
      <x:c r="I37" s="16" t="str">
        <x:v>Contact or separation regulation</x:v>
      </x:c>
      <x:c r="J37" s="16" t="str">
        <x:v>2 个去重相关物体：vase、trophy</x:v>
      </x:c>
      <x:c r="K37" s="25" t="str">
        <x:v>房间／可通行面积待测；可用台面见具体风险</x:v>
      </x:c>
      <x:c r="L37" s="16" t="str">
        <x:v>客厅两物体关系验证/分离；trophy 目标，侧卧 vase 锚。</x:v>
      </x:c>
      <x:c r="M37" s="16" t="str">
        <x:v>source AABB 沿 x 已相离约 13.28 cm，且目标为 separated，因此存在初态满足风险；当前沉降后的 native contact 未读，不能直接宣称 no-op。trophy 较高窄，旁边侧卧花瓶使抓取时误触锚成为主要难度。</x:v>
      </x:c>
      <x:c r="N37" s="16" t="str">
        <x:v>记录当前初始 native relation，若已 separated 列入关系验证控制；需要动作的种子检查奖杯局部夹取与稳定放置，明确保持花瓶锚姿态。</x:v>
      </x:c>
      <x:c r="O37" s="16" t="str">
        <x:v>当前 task/scene YAML 静态核对；task_yaml。既有 receipt 属历史证据；本次无新物理运行。</x:v>
      </x:c>
      <x:c r="P37" s="29" t="str">
        <x:v>https://github.com/XuanCheg/Show-Harness-Explore/blob/33bada4bb278471b7a925cd8ddfa3d46a19f52fb/explore_to_achieve/tasks/Spatial%20Relations/Physical%20Contact/house_single_floor/living_room_0/corev2__category_3a319828abcb43542f397e84.yaml</x:v>
      </x:c>
      <x:c r="Q37" s="16" t="str">
        <x:v>category_3a319828abcb43542f397e84</x:v>
      </x:c>
    </x:row>
    <x:row r="38" ht="87" customHeight="1">
      <x:c r="A38" s="19" t="str">
        <x:v>T33</x:v>
      </x:c>
      <x:c r="B38" s="22" t="str">
        <x:v>是</x:v>
      </x:c>
      <x:c r="C38" s="19" t="str">
        <x:v>现有候选／待运行认证</x:v>
      </x:c>
      <x:c r="D38" s="19" t="str">
        <x:v>house_single_floor</x:v>
      </x:c>
      <x:c r="E38" s="19" t="str">
        <x:v>corridor_0</x:v>
      </x:c>
      <x:c r="F38" s="19" t="str">
        <x:v>Spatial Relations</x:v>
      </x:c>
      <x:c r="G38" s="19" t="str">
        <x:v>Physical Contact</x:v>
      </x:c>
      <x:c r="H38" s="19" t="str">
        <x:v>Spatial Reconfiguration</x:v>
      </x:c>
      <x:c r="I38" s="19" t="str">
        <x:v>Contact or separation regulation</x:v>
      </x:c>
      <x:c r="J38" s="19" t="str">
        <x:v>2 个去重相关物体：shoulder_bag、textbook</x:v>
      </x:c>
      <x:c r="K38" s="26" t="str">
        <x:v>房间／可通行面积待测；可用台面见具体风险</x:v>
      </x:c>
      <x:c r="L38" s="19" t="str">
        <x:v>house_single_floor 走廊两物体接触；textbook 目标，shoulder_bag 锚。</x:v>
      </x:c>
      <x:c r="M38" s="19" t="str">
        <x:v>source textbook 约 28.8×38.6×5.0 cm，薄边可夹但平贴支撑时需要手指入口；shoulder_bag 与书 AABB 重叠不等于真实接触。走廊中新增工作面若存在会压缩退手和底盘通路。</x:v>
      </x:c>
      <x:c r="N38" s="19" t="str">
        <x:v>以 native contact 判断 touching，不能用 AABB 重叠代替；验证书边抓取/合法推近时肩包不被移动，给大书板面旋转和退出留足空间；将已接触初态作为验证控制。</x:v>
      </x:c>
      <x:c r="O38" s="19" t="str">
        <x:v>当前 task/scene YAML 静态核对；task_yaml。既有 receipt 属历史证据；本次无新物理运行。</x:v>
      </x:c>
      <x:c r="P38" s="30" t="str">
        <x:v>https://github.com/XuanCheg/Show-Harness-Explore/blob/33bada4bb278471b7a925cd8ddfa3d46a19f52fb/explore_to_achieve/tasks/Spatial%20Relations/Physical%20Contact/house_single_floor/corridor_0/corev2__category_53f113c7995ababbabdd5559.yaml</x:v>
      </x:c>
      <x:c r="Q38" s="19" t="str">
        <x:v>category_53f113c7995ababbabdd5559</x:v>
      </x:c>
    </x:row>
    <x:row r="39" ht="87" customHeight="1">
      <x:c r="A39" s="16" t="str">
        <x:v>T34</x:v>
      </x:c>
      <x:c r="B39" s="21" t="str">
        <x:v>是</x:v>
      </x:c>
      <x:c r="C39" s="16" t="str">
        <x:v>现有候选／待运行认证</x:v>
      </x:c>
      <x:c r="D39" s="16" t="str">
        <x:v>office_cubicles_left</x:v>
      </x:c>
      <x:c r="E39" s="16" t="str">
        <x:v>corridor_0</x:v>
      </x:c>
      <x:c r="F39" s="16" t="str">
        <x:v>Spatial Relations</x:v>
      </x:c>
      <x:c r="G39" s="16" t="str">
        <x:v>Physical Contact</x:v>
      </x:c>
      <x:c r="H39" s="16" t="str">
        <x:v>Spatial Reconfiguration</x:v>
      </x:c>
      <x:c r="I39" s="16" t="str">
        <x:v>Contact or separation regulation</x:v>
      </x:c>
      <x:c r="J39" s="16" t="str">
        <x:v>2 个去重相关物体：backpack、shoe_box</x:v>
      </x:c>
      <x:c r="K39" s="25" t="str">
        <x:v>房间／可通行面积待测；可用台面见具体风险</x:v>
      </x:c>
      <x:c r="L39" s="16" t="str">
        <x:v>办公走廊两物体分离；shoe_box 目标，backpack 锚。</x:v>
      </x:c>
      <x:c r="M39" s="16" t="str">
        <x:v>source backpack 约 49.5×41.0×47.8 cm，占据显著空间；shoe_box 约 28.3×22.1×8.6 cm。8.6 cm 薄边可能在 10 cm 夹爪范围内，但顶部横向整夹并不适用，需要侧向入口；走廊的净宽需实际测量。</x:v>
      </x:c>
      <x:c r="N39" s="16" t="str">
        <x:v>验证鞋盒侧夹和与背包分离后的稳定落点，独立测量工作台占用后的通路与退手；记录初始关系，将 no-op 与实际移物分开报告。</x:v>
      </x:c>
      <x:c r="O39" s="16" t="str">
        <x:v>当前 task/scene YAML 静态核对；task_yaml。既有 receipt 属历史证据；本次无新物理运行。</x:v>
      </x:c>
      <x:c r="P39" s="29" t="str">
        <x:v>https://github.com/XuanCheg/Show-Harness-Explore/blob/33bada4bb278471b7a925cd8ddfa3d46a19f52fb/explore_to_achieve/tasks/Spatial%20Relations/Physical%20Contact/office_cubicles_left/corridor_0/corev2__category_95d214aac10eb07a73ba0a99.yaml</x:v>
      </x:c>
      <x:c r="Q39" s="16" t="str">
        <x:v>category_95d214aac10eb07a73ba0a99</x:v>
      </x:c>
    </x:row>
    <x:row r="40" ht="87" customHeight="1">
      <x:c r="A40" s="19" t="str">
        <x:v>T35</x:v>
      </x:c>
      <x:c r="B40" s="22" t="str">
        <x:v>是</x:v>
      </x:c>
      <x:c r="C40" s="19" t="str">
        <x:v>现有候选／待运行认证</x:v>
      </x:c>
      <x:c r="D40" s="19" t="str">
        <x:v>house_single_floor</x:v>
      </x:c>
      <x:c r="E40" s="19" t="str">
        <x:v>living_room_0</x:v>
      </x:c>
      <x:c r="F40" s="19" t="str">
        <x:v>Enumerative Perception</x:v>
      </x:c>
      <x:c r="G40" s="19" t="str">
        <x:v>Hidden Object Search</x:v>
      </x:c>
      <x:c r="H40" s="19" t="str">
        <x:v>Embodied Grounding</x:v>
      </x:c>
      <x:c r="I40" s="19" t="str">
        <x:v>Search and set collection</x:v>
      </x:c>
      <x:c r="J40" s="19" t="str">
        <x:v>3 个目标 + 0 个显式相似干扰物 + 4 个语义货架 + 1 托盘</x:v>
      </x:c>
      <x:c r="K40" s="26" t="str">
        <x:v>房间／可通行面积待测；局部尺度见范围列</x:v>
      </x:c>
      <x:c r="L40" s="19" t="str">
        <x:v>加载 1 个房间；目标 XY 跨度 5.634 × 1.856 m；托盘可用 0.294 × 0.420 m</x:v>
      </x:c>
      <x:c r="M40" s="19" t="str">
        <x:v>3个汉堡、0个显式相似干扰物、4个货架（其中可有空架），右手托盘、左手收集。初始可见是允许的，不能把hidden字样当所有目标初始不可见的证据。</x:v>
      </x:c>
      <x:c r="N40" s="19" t="str">
        <x:v>保留为单房收集基线</x:v>
      </x:c>
      <x:c r="O40" s="19" t="str">
        <x:v>当前 manifest/task/scene 静态核对；部分尺寸、初态、被动斜坡结果来自仓库既有 Native 收据；本次未运行新的机器人或 Agent 实验。</x:v>
      </x:c>
      <x:c r="P40" s="30" t="str">
        <x:v>https://github.com/XuanCheg/Show-Harness-Explore/blob/33bada4bb278471b7a925cd8ddfa3d46a19f52fb/explore_to_achieve/tasks/Enumerative%20Perception/Hidden%20Object%20Search/house_single_floor/single_room/corev2__category_f7f89193432473c2bb37aeb5.yaml</x:v>
      </x:c>
      <x:c r="Q40" s="19" t="str">
        <x:v>category_f7f89193432473c2bb37aeb5</x:v>
      </x:c>
    </x:row>
    <x:row r="41" ht="87" customHeight="1">
      <x:c r="A41" s="16" t="str">
        <x:v>T36</x:v>
      </x:c>
      <x:c r="B41" s="21" t="str">
        <x:v>是</x:v>
      </x:c>
      <x:c r="C41" s="16" t="str">
        <x:v>现有候选／待运行认证</x:v>
      </x:c>
      <x:c r="D41" s="16" t="str">
        <x:v>house_single_floor</x:v>
      </x:c>
      <x:c r="E41" s="16" t="str">
        <x:v>living_room_0/kitchen_0/dining_room_0</x:v>
      </x:c>
      <x:c r="F41" s="16" t="str">
        <x:v>Enumerative Perception</x:v>
      </x:c>
      <x:c r="G41" s="16" t="str">
        <x:v>Hidden Object Search</x:v>
      </x:c>
      <x:c r="H41" s="16" t="str">
        <x:v>Embodied Grounding</x:v>
      </x:c>
      <x:c r="I41" s="16" t="str">
        <x:v>Search and set collection</x:v>
      </x:c>
      <x:c r="J41" s="16" t="str">
        <x:v>4 个目标 + 0 个显式相似干扰物 + 4 个语义货架 + 1 托盘</x:v>
      </x:c>
      <x:c r="K41" s="25" t="str">
        <x:v>房间／可通行面积待测；局部尺度见范围列</x:v>
      </x:c>
      <x:c r="L41" s="16" t="str">
        <x:v>加载 3 个房间；目标 XY 跨度 11.080 × 2.750 m；托盘可用 0.294 × 0.420 m</x:v>
      </x:c>
      <x:c r="M41" s="16" t="str">
        <x:v>4个汉堡、0个显式相似干扰物、4个货架、3个loaded_rooms；前三目标位置与单房任务相同。负担增长来自跨房路程、额外抓取和持盘运输，应分别计量。</x:v>
      </x:c>
      <x:c r="N41" s="16" t="str">
        <x:v>保留为跨房搜索收集，避免与单房跨split</x:v>
      </x:c>
      <x:c r="O41" s="16" t="str">
        <x:v>当前 manifest/task/scene 静态核对；部分尺寸、初态、被动斜坡结果来自仓库既有 Native 收据；本次未运行新的机器人或 Agent 实验。</x:v>
      </x:c>
      <x:c r="P41" s="29" t="str">
        <x:v>https://github.com/XuanCheg/Show-Harness-Explore/blob/33bada4bb278471b7a925cd8ddfa3d46a19f52fb/explore_to_achieve/tasks/Enumerative%20Perception/Hidden%20Object%20Search/house_single_floor/multi_room/corev2__category_ff560c315a0a0407f6148a1b.yaml</x:v>
      </x:c>
      <x:c r="Q41" s="16" t="str">
        <x:v>category_ff560c315a0a0407f6148a1b</x:v>
      </x:c>
    </x:row>
    <x:row r="42" ht="102" customHeight="1">
      <x:c r="A42" s="19" t="str">
        <x:v>T37</x:v>
      </x:c>
      <x:c r="B42" s="22" t="str">
        <x:v>是</x:v>
      </x:c>
      <x:c r="C42" s="19" t="str">
        <x:v>现有候选／待运行认证</x:v>
      </x:c>
      <x:c r="D42" s="19" t="str">
        <x:v>Beechwood_0_int</x:v>
      </x:c>
      <x:c r="E42" s="19" t="str">
        <x:v>living_room_1</x:v>
      </x:c>
      <x:c r="F42" s="19" t="str">
        <x:v>Enumerative Perception</x:v>
      </x:c>
      <x:c r="G42" s="19" t="str">
        <x:v>Hidden Object Search</x:v>
      </x:c>
      <x:c r="H42" s="19" t="str">
        <x:v>Embodied Grounding</x:v>
      </x:c>
      <x:c r="I42" s="19" t="str">
        <x:v>Search and set collection</x:v>
      </x:c>
      <x:c r="J42" s="19" t="str">
        <x:v>5 个目标 + 2 个显式相似干扰物 + 3 个语义货架 + 1 托盘</x:v>
      </x:c>
      <x:c r="K42" s="26" t="str">
        <x:v>房间／可通行面积待测；局部尺度见范围列</x:v>
      </x:c>
      <x:c r="L42" s="19" t="str">
        <x:v>加载 1 个房间；目标 XY 跨度 3.269 × 0.478 m；托盘可用 0.294 × 0.420 m</x:v>
      </x:c>
      <x:c r="M42" s="19" t="str">
        <x:v>5个汉堡目标+2个食物干扰物（bun/sandwich）、3个货架；相似身份与去重是信息难点，同时5次夹取的累积失败会显著影响整项成功。托盘控制负担应单列。</x:v>
      </x:c>
      <x:c r="N42" s="19" t="str">
        <x:v>保留为干扰物下完整收集，优先持盘运输验证</x:v>
      </x:c>
      <x:c r="O42" s="19" t="str">
        <x:v>当前 manifest/task/scene 静态核对；部分尺寸、初态、被动斜坡结果来自仓库既有 Native 收据；本次未运行新的机器人或 Agent 实验。</x:v>
      </x:c>
      <x:c r="P42" s="30" t="str">
        <x:v>https://github.com/XuanCheg/Show-Harness-Explore/blob/33bada4bb278471b7a925cd8ddfa3d46a19f52fb/explore_to_achieve/tasks/Enumerative%20Perception/Hidden%20Object%20Search/Beechwood_0_int/similar_repeated_views/corev2__category_d1156faa040aacc20c70b3ce.yaml</x:v>
      </x:c>
      <x:c r="Q42" s="19" t="str">
        <x:v>category_d1156faa040aacc20c70b3ce</x:v>
      </x:c>
    </x:row>
    <x:row r="43" ht="87" customHeight="1">
      <x:c r="A43" s="16" t="str">
        <x:v>T38</x:v>
      </x:c>
      <x:c r="B43" s="21" t="str">
        <x:v>是</x:v>
      </x:c>
      <x:c r="C43" s="16" t="str">
        <x:v>现有候选／待运行认证</x:v>
      </x:c>
      <x:c r="D43" s="16" t="str">
        <x:v>house_single_floor</x:v>
      </x:c>
      <x:c r="E43" s="16" t="str">
        <x:v>living_room_0</x:v>
      </x:c>
      <x:c r="F43" s="16" t="str">
        <x:v>Temporal Understanding</x:v>
      </x:c>
      <x:c r="G43" s="16" t="str">
        <x:v>Agent Observation</x:v>
      </x:c>
      <x:c r="H43" s="16" t="str">
        <x:v>Memory &amp; State Revision</x:v>
      </x:c>
      <x:c r="I43" s="16" t="str">
        <x:v>Self-generated episodic-history retrieval</x:v>
      </x:c>
      <x:c r="J43" s="16" t="str">
        <x:v>3 个历史物体 + 3 个货架 + 1 送达托盘；最终取回 1 个目标</x:v>
      </x:c>
      <x:c r="K43" s="25" t="str">
        <x:v>房间／可通行面积待测；局部尺度见范围列</x:v>
      </x:c>
      <x:c r="L43" s="16" t="str">
        <x:v>自由发现形成历史；后续按首次遇见的相对顺序取回；短历史依赖</x:v>
      </x:c>
      <x:c r="M43" s="16" t="str">
        <x:v>3个食物、3个货架、1个送达托盘；在实际第一次发现历史形成后问before_reference_encounter，followup_seed=7。144 pixels、12px extent、2m阈值记录视觉接触，不能当语义识别正确。</x:v>
      </x:c>
      <x:c r="N43" s="16" t="str">
        <x:v>保留为短历史依赖取回，扩展应改变历史而非仅搬运次数</x:v>
      </x:c>
      <x:c r="O43" s="16" t="str">
        <x:v>当前 manifest/task/scene 静态核对；部分尺寸、初态、被动斜坡结果来自仓库既有 Native 收据；本次未运行新的机器人或 Agent 实验。</x:v>
      </x:c>
      <x:c r="P43" s="29" t="str">
        <x:v>https://github.com/XuanCheg/Show-Harness-Explore/blob/33bada4bb278471b7a925cd8ddfa3d46a19f52fb/explore_to_achieve/tasks/Temporal%20Understanding/Agent%20Observation/house_single_floor/redesign_20261020/category_cdb38ede71f9e832885a7654.yaml</x:v>
      </x:c>
      <x:c r="Q43" s="16" t="str">
        <x:v>category_cdb38ede71f9e832885a7654</x:v>
      </x:c>
    </x:row>
    <x:row r="44" ht="87" customHeight="1">
      <x:c r="A44" s="19" t="str">
        <x:v>T39</x:v>
      </x:c>
      <x:c r="B44" s="22" t="str">
        <x:v>是</x:v>
      </x:c>
      <x:c r="C44" s="19" t="str">
        <x:v>现有候选／待运行认证</x:v>
      </x:c>
      <x:c r="D44" s="19" t="str">
        <x:v>Beechwood_0_int</x:v>
      </x:c>
      <x:c r="E44" s="19" t="str">
        <x:v>living_room_1</x:v>
      </x:c>
      <x:c r="F44" s="19" t="str">
        <x:v>Temporal Understanding</x:v>
      </x:c>
      <x:c r="G44" s="19" t="str">
        <x:v>Agent Observation</x:v>
      </x:c>
      <x:c r="H44" s="19" t="str">
        <x:v>Memory &amp; State Revision</x:v>
      </x:c>
      <x:c r="I44" s="19" t="str">
        <x:v>Self-generated episodic-history retrieval</x:v>
      </x:c>
      <x:c r="J44" s="19" t="str">
        <x:v>3 个历史物体 + 3 个货架 + 1 送达托盘；最终取回 1 个目标</x:v>
      </x:c>
      <x:c r="K44" s="26" t="str">
        <x:v>房间／可通行面积待测；局部尺度见范围列</x:v>
      </x:c>
      <x:c r="L44" s="19" t="str">
        <x:v>自由发现形成历史；后续按首次遇见的相对顺序取回；短历史依赖</x:v>
      </x:c>
      <x:c r="M44" s="19" t="str">
        <x:v>同样3个食物、3架、1托盘；after_reference_encounter。与Beechwood搜索任务共享空间/货架布局，应归同scene/template family。3个历史事件能支持短时顺序记忆，不能直接宣称长时记忆覆盖。</x:v>
      </x:c>
      <x:c r="N44" s="19" t="str">
        <x:v>保留为短历史依赖取回，同建筑家族独立划分</x:v>
      </x:c>
      <x:c r="O44" s="19" t="str">
        <x:v>当前 manifest/task/scene 静态核对；部分尺寸、初态、被动斜坡结果来自仓库既有 Native 收据；本次未运行新的机器人或 Agent 实验。</x:v>
      </x:c>
      <x:c r="P44" s="30" t="str">
        <x:v>https://github.com/XuanCheg/Show-Harness-Explore/blob/33bada4bb278471b7a925cd8ddfa3d46a19f52fb/explore_to_achieve/tasks/Temporal%20Understanding/Agent%20Observation/Beechwood_0_int/redesign_20261020/category_ebb26cc29316e397864246bd.yaml</x:v>
      </x:c>
      <x:c r="Q44" s="19" t="str">
        <x:v>category_ebb26cc29316e397864246bd</x:v>
      </x:c>
    </x:row>
    <x:row r="45" ht="87" customHeight="1">
      <x:c r="A45" s="16" t="str">
        <x:v>T40</x:v>
      </x:c>
      <x:c r="B45" s="21" t="str">
        <x:v>是</x:v>
      </x:c>
      <x:c r="C45" s="16" t="str">
        <x:v>现有候选／待运行认证</x:v>
      </x:c>
      <x:c r="D45" s="16" t="str">
        <x:v>house_single_floor</x:v>
      </x:c>
      <x:c r="E45" s="16" t="str">
        <x:v>dining_room_0</x:v>
      </x:c>
      <x:c r="F45" s="16" t="str">
        <x:v>Temporal Understanding</x:v>
      </x:c>
      <x:c r="G45" s="16" t="str">
        <x:v>Unobserved Change</x:v>
      </x:c>
      <x:c r="H45" s="16" t="str">
        <x:v>Memory &amp; State Revision</x:v>
      </x:c>
      <x:c r="I45" s="16" t="str">
        <x:v>Unobserved change response: removed</x:v>
      </x:c>
      <x:c r="J45" s="16" t="str">
        <x:v>3 比较盒；Phase1 2 件、Phase2 1 件内容物；4 备用物；送达装置另计</x:v>
      </x:c>
      <x:c r="K45" s="25" t="str">
        <x:v>房间／可通行面积待测；局部尺度见范围列</x:v>
      </x:c>
      <x:c r="L45" s="16" t="str">
        <x:v>同 dining room 的 removed 事件；Phase1 最多 10 decisions；非独立空间场景</x:v>
      </x:c>
      <x:c r="M45" s="16" t="str">
        <x:v>Phase1为左shaker、中cumin、右空；Phase2移除shaker；3比较盒、4公开备用物始终相同；需拿正确备用品补回原位置。先验初始状态固定会弱化memory necessity，未来应做初始状态置换。</x:v>
      </x:c>
      <x:c r="N45" s="16" t="str">
        <x:v>保留removed事件，与其他五事件组成同一家族</x:v>
      </x:c>
      <x:c r="O45" s="16" t="str">
        <x:v>当前 manifest/task/scene 静态核对；部分尺寸、初态、被动斜坡结果来自仓库既有 Native 收据；本次未运行新的机器人或 Agent 实验。</x:v>
      </x:c>
      <x:c r="P45" s="29" t="str">
        <x:v>https://github.com/XuanCheg/Show-Harness-Explore/blob/33bada4bb278471b7a925cd8ddfa3d46a19f52fb/explore_to_achieve/tasks/Temporal%20Understanding/Unobserved%20Change/house_single_floor/redesign_20261020/category_006a82c80075ae1fb18c5bc6.yaml</x:v>
      </x:c>
      <x:c r="Q45" s="16" t="str">
        <x:v>category_006a82c80075ae1fb18c5bc6</x:v>
      </x:c>
    </x:row>
    <x:row r="46" ht="87" customHeight="1">
      <x:c r="A46" s="19" t="str">
        <x:v>T41</x:v>
      </x:c>
      <x:c r="B46" s="22" t="str">
        <x:v>是</x:v>
      </x:c>
      <x:c r="C46" s="19" t="str">
        <x:v>现有候选／待运行认证</x:v>
      </x:c>
      <x:c r="D46" s="19" t="str">
        <x:v>house_single_floor</x:v>
      </x:c>
      <x:c r="E46" s="19" t="str">
        <x:v>dining_room_0</x:v>
      </x:c>
      <x:c r="F46" s="19" t="str">
        <x:v>Temporal Understanding</x:v>
      </x:c>
      <x:c r="G46" s="19" t="str">
        <x:v>Unobserved Change</x:v>
      </x:c>
      <x:c r="H46" s="19" t="str">
        <x:v>Memory &amp; State Revision</x:v>
      </x:c>
      <x:c r="I46" s="19" t="str">
        <x:v>Unobserved change response: no_change</x:v>
      </x:c>
      <x:c r="J46" s="19" t="str">
        <x:v>3 比较盒；Phase1 2 件、Phase2 2 件内容物；4 备用物；送达装置另计</x:v>
      </x:c>
      <x:c r="K46" s="26" t="str">
        <x:v>房间／可通行面积待测；局部尺度见范围列</x:v>
      </x:c>
      <x:c r="L46" s="19" t="str">
        <x:v>同 dining room 的 no_change 事件；Phase1 最多 10 decisions；非独立空间场景</x:v>
      </x:c>
      <x:c r="M46" s="19" t="str">
        <x:v>Phase1/2均为左shaker、中cumin、右空；需有信息地检查并保持不变。是检验是否知道何时不动的合法分支；不应为了全部manipulation而额外强制移动。</x:v>
      </x:c>
      <x:c r="N46" s="19" t="str">
        <x:v>保留no-change对照，不强迫无意义抓取</x:v>
      </x:c>
      <x:c r="O46" s="19" t="str">
        <x:v>当前 manifest/task/scene 静态核对；部分尺寸、初态、被动斜坡结果来自仓库既有 Native 收据；本次未运行新的机器人或 Agent 实验。</x:v>
      </x:c>
      <x:c r="P46" s="30" t="str">
        <x:v>https://github.com/XuanCheg/Show-Harness-Explore/blob/33bada4bb278471b7a925cd8ddfa3d46a19f52fb/explore_to_achieve/tasks/Temporal%20Understanding/Unobserved%20Change/house_single_floor/redesign_20261020/category_bd0c096bec07a9036cd4bb66.yaml</x:v>
      </x:c>
      <x:c r="Q46" s="19" t="str">
        <x:v>category_bd0c096bec07a9036cd4bb66</x:v>
      </x:c>
    </x:row>
    <x:row r="47" ht="87" customHeight="1">
      <x:c r="A47" s="16" t="str">
        <x:v>T42</x:v>
      </x:c>
      <x:c r="B47" s="21" t="str">
        <x:v>是</x:v>
      </x:c>
      <x:c r="C47" s="16" t="str">
        <x:v>现有候选／待运行认证</x:v>
      </x:c>
      <x:c r="D47" s="16" t="str">
        <x:v>house_single_floor</x:v>
      </x:c>
      <x:c r="E47" s="16" t="str">
        <x:v>living_room_0</x:v>
      </x:c>
      <x:c r="F47" s="16" t="str">
        <x:v>Physical Dynamics</x:v>
      </x:c>
      <x:c r="G47" s="16" t="str">
        <x:v>Inclined Plane</x:v>
      </x:c>
      <x:c r="H47" s="16" t="str">
        <x:v>Physical Construction &amp; Experimentation</x:v>
      </x:c>
      <x:c r="I47" s="16" t="str">
        <x:v>Controlled dynamics comparison and application</x:v>
      </x:c>
      <x:c r="J47" s="16" t="str">
        <x:v>3 类候选 × trial/spare = 6 个可移动物体；18 个装置 binding 不等于 18 个独立物品</x:v>
      </x:c>
      <x:c r="K47" s="25" t="str">
        <x:v>房间／可通行面积待测；局部尺度见范围列</x:v>
      </x:c>
      <x:c r="L47" s="16" t="str">
        <x:v>同一局部斜坡站；斜坡长 0.4697 m、宽 0.30 m、厚 0.02 m</x:v>
      </x:c>
      <x:c r="M47" s="16" t="str">
        <x:v>3类候选×trial/spare共6件，在同一局部ramp apparatus；历史被动探测仅ball到达(0.800s)，不是本次实验或robot rollout。</x:v>
      </x:c>
      <x:c r="N47" s="16" t="str">
        <x:v>优先修复实验信息价值与候选赢家分布</x:v>
      </x:c>
      <x:c r="O47" s="16" t="str">
        <x:v>当前 manifest/task/scene 静态核对；部分尺寸、初态、被动斜坡结果来自仓库既有 Native 收据；本次未运行新的机器人或 Agent 实验。</x:v>
      </x:c>
      <x:c r="P47" s="29" t="str">
        <x:v>https://github.com/XuanCheg/Show-Harness-Explore/blob/33bada4bb278471b7a925cd8ddfa3d46a19f52fb/explore_to_achieve/tasks/Physical%20Dynamics/Inclined%20Plane/house_single_floor/redesign_20261020/category_88ce9d62d891ae0ba628a6e9.yaml</x:v>
      </x:c>
      <x:c r="Q47" s="16" t="str">
        <x:v>category_88ce9d62d891ae0ba628a6e9</x:v>
      </x:c>
    </x:row>
    <x:row r="48" ht="87" customHeight="1">
      <x:c r="A48" s="19" t="str">
        <x:v>T43</x:v>
      </x:c>
      <x:c r="B48" s="22" t="str">
        <x:v>是</x:v>
      </x:c>
      <x:c r="C48" s="19" t="str">
        <x:v>现有候选／待运行认证</x:v>
      </x:c>
      <x:c r="D48" s="19" t="str">
        <x:v>house_single_floor</x:v>
      </x:c>
      <x:c r="E48" s="19" t="str">
        <x:v>living_room_0</x:v>
      </x:c>
      <x:c r="F48" s="19" t="str">
        <x:v>Physical Dynamics</x:v>
      </x:c>
      <x:c r="G48" s="19" t="str">
        <x:v>Inclined Plane</x:v>
      </x:c>
      <x:c r="H48" s="19" t="str">
        <x:v>Physical Construction &amp; Experimentation</x:v>
      </x:c>
      <x:c r="I48" s="19" t="str">
        <x:v>Controlled dynamics comparison and application</x:v>
      </x:c>
      <x:c r="J48" s="19" t="str">
        <x:v>3 类候选 × trial/spare = 6 个可移动物体；18 个装置 binding 不等于 18 个独立物品</x:v>
      </x:c>
      <x:c r="K48" s="26" t="str">
        <x:v>房间／可通行面积待测；局部尺度见范围列</x:v>
      </x:c>
      <x:c r="L48" s="19" t="str">
        <x:v>同一局部斜坡站；斜坡长 0.5510 m、宽 0.30 m、厚 0.02 m</x:v>
      </x:c>
      <x:c r="M48" s="19" t="str">
        <x:v>同一房间/6件候选，改变斜坡/摩擦条件；历史被动到达avocado=0.600s、ball=0.500s，0.15s并列容差使两者可接受。</x:v>
      </x:c>
      <x:c r="N48" s="19" t="str">
        <x:v>优先修复实验信息价值与候选赢家分布</x:v>
      </x:c>
      <x:c r="O48" s="19" t="str">
        <x:v>当前 manifest/task/scene 静态核对；部分尺寸、初态、被动斜坡结果来自仓库既有 Native 收据；本次未运行新的机器人或 Agent 实验。</x:v>
      </x:c>
      <x:c r="P48" s="30" t="str">
        <x:v>https://github.com/XuanCheg/Show-Harness-Explore/blob/33bada4bb278471b7a925cd8ddfa3d46a19f52fb/explore_to_achieve/tasks/Physical%20Dynamics/Inclined%20Plane/house_single_floor/redesign_20261020/category_75bff6e58684ce3d067bfee5.yaml</x:v>
      </x:c>
      <x:c r="Q48" s="19" t="str">
        <x:v>category_75bff6e58684ce3d067bfee5</x:v>
      </x:c>
    </x:row>
    <x:row r="49" ht="87" customHeight="1">
      <x:c r="A49" s="16" t="str">
        <x:v>T44</x:v>
      </x:c>
      <x:c r="B49" s="21" t="str">
        <x:v>是</x:v>
      </x:c>
      <x:c r="C49" s="16" t="str">
        <x:v>现有候选／待运行认证</x:v>
      </x:c>
      <x:c r="D49" s="16" t="str">
        <x:v>house_single_floor</x:v>
      </x:c>
      <x:c r="E49" s="16" t="str">
        <x:v>living_room_0</x:v>
      </x:c>
      <x:c r="F49" s="16" t="str">
        <x:v>Physical Dynamics</x:v>
      </x:c>
      <x:c r="G49" s="16" t="str">
        <x:v>Inclined Plane</x:v>
      </x:c>
      <x:c r="H49" s="16" t="str">
        <x:v>Physical Construction &amp; Experimentation</x:v>
      </x:c>
      <x:c r="I49" s="16" t="str">
        <x:v>Controlled dynamics comparison and application</x:v>
      </x:c>
      <x:c r="J49" s="16" t="str">
        <x:v>3 类候选 × trial/spare = 6 个可移动物体；18 个装置 binding 不等于 18 个独立物品</x:v>
      </x:c>
      <x:c r="K49" s="25" t="str">
        <x:v>房间／可通行面积待测；局部尺度见范围列</x:v>
      </x:c>
      <x:c r="L49" s="16" t="str">
        <x:v>同一局部斜坡站；斜坡长 0.4060 m、宽 0.30 m、厚 0.02 m</x:v>
      </x:c>
      <x:c r="M49" s="16" t="str">
        <x:v>同一房间/6件候选；历史被动到达bowl=0.700s、avocado=0.600s、ball=0.467s，0.15s并列容差接受avocado/ball。三项ball均可正确选择，强制实验步骤并不证明利用实验结果。</x:v>
      </x:c>
      <x:c r="N49" s="16" t="str">
        <x:v>优先修复实验信息价值与候选赢家分布</x:v>
      </x:c>
      <x:c r="O49" s="16" t="str">
        <x:v>当前 manifest/task/scene 静态核对；部分尺寸、初态、被动斜坡结果来自仓库既有 Native 收据；本次未运行新的机器人或 Agent 实验。</x:v>
      </x:c>
      <x:c r="P49" s="29" t="str">
        <x:v>https://github.com/XuanCheg/Show-Harness-Explore/blob/33bada4bb278471b7a925cd8ddfa3d46a19f52fb/explore_to_achieve/tasks/Physical%20Dynamics/Inclined%20Plane/house_single_floor/redesign_20261020/category_c8b7b9e832f5ee2958b6efe0.yaml</x:v>
      </x:c>
      <x:c r="Q49" s="16" t="str">
        <x:v>category_c8b7b9e832f5ee2958b6efe0</x:v>
      </x:c>
    </x:row>
    <x:row r="50" ht="87" customHeight="1">
      <x:c r="A50" s="19" t="str">
        <x:v>T45</x:v>
      </x:c>
      <x:c r="B50" s="22" t="str">
        <x:v>是</x:v>
      </x:c>
      <x:c r="C50" s="19" t="str">
        <x:v>现有候选／待运行认证</x:v>
      </x:c>
      <x:c r="D50" s="19" t="str">
        <x:v>house_single_floor</x:v>
      </x:c>
      <x:c r="E50" s="19" t="str">
        <x:v>dining_room_0</x:v>
      </x:c>
      <x:c r="F50" s="19" t="str">
        <x:v>Temporal Understanding</x:v>
      </x:c>
      <x:c r="G50" s="19" t="str">
        <x:v>Unobserved Change</x:v>
      </x:c>
      <x:c r="H50" s="19" t="str">
        <x:v>Memory &amp; State Revision</x:v>
      </x:c>
      <x:c r="I50" s="19" t="str">
        <x:v>Unobserved change response: added</x:v>
      </x:c>
      <x:c r="J50" s="19" t="str">
        <x:v>3 比较盒；Phase1 2 件、Phase2 3 件内容物；4 备用物；送达装置另计</x:v>
      </x:c>
      <x:c r="K50" s="26" t="str">
        <x:v>房间／可通行面积待测；局部尺度见范围列</x:v>
      </x:c>
      <x:c r="L50" s="19" t="str">
        <x:v>同 dining room 的 added 事件；Phase1 最多 10 decisions；非独立空间场景</x:v>
      </x:c>
      <x:c r="M50" s="19" t="str">
        <x:v>同3盒、4备用物、Phase1两件，Phase2三件；将新增物放到收集托盘。需避免固定右空槽让新增位置被先验猜测。</x:v>
      </x:c>
      <x:c r="N50" s="19" t="str">
        <x:v>保留added事件，与初始状态家族绑定</x:v>
      </x:c>
      <x:c r="O50" s="19" t="str">
        <x:v>当前 manifest/task/scene 静态核对；部分尺寸、初态、被动斜坡结果来自仓库既有 Native 收据；本次未运行新的机器人或 Agent 实验。</x:v>
      </x:c>
      <x:c r="P50" s="30" t="str">
        <x:v>https://github.com/XuanCheg/Show-Harness-Explore/blob/33bada4bb278471b7a925cd8ddfa3d46a19f52fb/explore_to_achieve/tasks/Temporal%20Understanding/Unobserved%20Change/house_single_floor/redesign_20261020/category_939a8fa9a40b1fc7e04a5db0.yaml</x:v>
      </x:c>
      <x:c r="Q50" s="19" t="str">
        <x:v>category_939a8fa9a40b1fc7e04a5db0</x:v>
      </x:c>
    </x:row>
    <x:row r="51" ht="87" customHeight="1">
      <x:c r="A51" s="16" t="str">
        <x:v>T46</x:v>
      </x:c>
      <x:c r="B51" s="21" t="str">
        <x:v>是</x:v>
      </x:c>
      <x:c r="C51" s="16" t="str">
        <x:v>现有候选／待运行认证</x:v>
      </x:c>
      <x:c r="D51" s="16" t="str">
        <x:v>house_single_floor</x:v>
      </x:c>
      <x:c r="E51" s="16" t="str">
        <x:v>dining_room_0</x:v>
      </x:c>
      <x:c r="F51" s="16" t="str">
        <x:v>Temporal Understanding</x:v>
      </x:c>
      <x:c r="G51" s="16" t="str">
        <x:v>Unobserved Change</x:v>
      </x:c>
      <x:c r="H51" s="16" t="str">
        <x:v>Memory &amp; State Revision</x:v>
      </x:c>
      <x:c r="I51" s="16" t="str">
        <x:v>Unobserved change response: moved</x:v>
      </x:c>
      <x:c r="J51" s="16" t="str">
        <x:v>3 比较盒；Phase1 2 件、Phase2 2 件内容物；4 备用物；送达装置另计</x:v>
      </x:c>
      <x:c r="K51" s="25" t="str">
        <x:v>房间／可通行面积待测；局部尺度见范围列</x:v>
      </x:c>
      <x:c r="L51" s="16" t="str">
        <x:v>同 dining room 的 moved 事件；Phase1 最多 10 decisions；非独立空间场景</x:v>
      </x:c>
      <x:c r="M51" s="16" t="str">
        <x:v>Phase1两件、Phase2两件；shaker从左移到右，操作应返回左盒。比单纯yes/no更能测位置记忆；需置换初始分配以避免固定答案。</x:v>
      </x:c>
      <x:c r="N51" s="16" t="str">
        <x:v>保留moved事件，检查返回记忆位置</x:v>
      </x:c>
      <x:c r="O51" s="16" t="str">
        <x:v>当前 manifest/task/scene 静态核对；部分尺寸、初态、被动斜坡结果来自仓库既有 Native 收据；本次未运行新的机器人或 Agent 实验。</x:v>
      </x:c>
      <x:c r="P51" s="29" t="str">
        <x:v>https://github.com/XuanCheg/Show-Harness-Explore/blob/33bada4bb278471b7a925cd8ddfa3d46a19f52fb/explore_to_achieve/tasks/Temporal%20Understanding/Unobserved%20Change/house_single_floor/redesign_20261020/category_0498b76051279b8acd7e914e.yaml</x:v>
      </x:c>
      <x:c r="Q51" s="16" t="str">
        <x:v>category_0498b76051279b8acd7e914e</x:v>
      </x:c>
    </x:row>
    <x:row r="52" ht="87" customHeight="1">
      <x:c r="A52" s="19" t="str">
        <x:v>T47</x:v>
      </x:c>
      <x:c r="B52" s="22" t="str">
        <x:v>是</x:v>
      </x:c>
      <x:c r="C52" s="19" t="str">
        <x:v>现有候选／待运行认证</x:v>
      </x:c>
      <x:c r="D52" s="19" t="str">
        <x:v>house_single_floor</x:v>
      </x:c>
      <x:c r="E52" s="19" t="str">
        <x:v>dining_room_0</x:v>
      </x:c>
      <x:c r="F52" s="19" t="str">
        <x:v>Temporal Understanding</x:v>
      </x:c>
      <x:c r="G52" s="19" t="str">
        <x:v>Unobserved Change</x:v>
      </x:c>
      <x:c r="H52" s="19" t="str">
        <x:v>Memory &amp; State Revision</x:v>
      </x:c>
      <x:c r="I52" s="19" t="str">
        <x:v>Unobserved change response: replaced</x:v>
      </x:c>
      <x:c r="J52" s="19" t="str">
        <x:v>3 比较盒；Phase1 2 件、Phase2 2 件内容物；4 备用物；送达装置另计</x:v>
      </x:c>
      <x:c r="K52" s="26" t="str">
        <x:v>房间／可通行面积待测；局部尺度见范围列</x:v>
      </x:c>
      <x:c r="L52" s="19" t="str">
        <x:v>同 dining room 的 replaced 事件；Phase1 最多 10 decisions；非独立空间场景</x:v>
      </x:c>
      <x:c r="M52" s="19" t="str">
        <x:v>Phase1两件、Phase2两件；左盒内容替换，需收集当前replacement。需确认实际视图中替换物可辨且备用清单不会泄露事件。</x:v>
      </x:c>
      <x:c r="N52" s="19" t="str">
        <x:v>保留replaced事件，突出身份变化</x:v>
      </x:c>
      <x:c r="O52" s="19" t="str">
        <x:v>当前 manifest/task/scene 静态核对；部分尺寸、初态、被动斜坡结果来自仓库既有 Native 收据；本次未运行新的机器人或 Agent 实验。</x:v>
      </x:c>
      <x:c r="P52" s="30" t="str">
        <x:v>https://github.com/XuanCheg/Show-Harness-Explore/blob/33bada4bb278471b7a925cd8ddfa3d46a19f52fb/explore_to_achieve/tasks/Temporal%20Understanding/Unobserved%20Change/house_single_floor/redesign_20261020/category_b892978c0400005618c6589c.yaml</x:v>
      </x:c>
      <x:c r="Q52" s="19" t="str">
        <x:v>category_b892978c0400005618c6589c</x:v>
      </x:c>
    </x:row>
    <x:row r="53" ht="87" customHeight="1">
      <x:c r="A53" s="16" t="str">
        <x:v>T48</x:v>
      </x:c>
      <x:c r="B53" s="21" t="str">
        <x:v>是</x:v>
      </x:c>
      <x:c r="C53" s="16" t="str">
        <x:v>现有候选／待运行认证</x:v>
      </x:c>
      <x:c r="D53" s="16" t="str">
        <x:v>house_single_floor</x:v>
      </x:c>
      <x:c r="E53" s="16" t="str">
        <x:v>dining_room_0</x:v>
      </x:c>
      <x:c r="F53" s="16" t="str">
        <x:v>Temporal Understanding</x:v>
      </x:c>
      <x:c r="G53" s="16" t="str">
        <x:v>Unobserved Change</x:v>
      </x:c>
      <x:c r="H53" s="16" t="str">
        <x:v>Memory &amp; State Revision</x:v>
      </x:c>
      <x:c r="I53" s="16" t="str">
        <x:v>Unobserved change response: multiple</x:v>
      </x:c>
      <x:c r="J53" s="16" t="str">
        <x:v>3 比较盒；Phase1 2 件、Phase2 2 件内容物；4 备用物；送达装置另计</x:v>
      </x:c>
      <x:c r="K53" s="25" t="str">
        <x:v>房间／可通行面积待测；局部尺度见范围列</x:v>
      </x:c>
      <x:c r="L53" s="16" t="str">
        <x:v>同 dining room 的 multiple 事件；Phase1 最多 10 decisions；非独立空间场景</x:v>
      </x:c>
      <x:c r="M53" s="16" t="str">
        <x:v>Phase1两件、Phase2两件；同时removed左盒+added右盒，需两项物理操作。不是新的空间场景，应标为同布局复合事件变体。</x:v>
      </x:c>
      <x:c r="N53" s="16" t="str">
        <x:v>保留compound事件，按操作项给部分分</x:v>
      </x:c>
      <x:c r="O53" s="16" t="str">
        <x:v>当前 manifest/task/scene 静态核对；部分尺寸、初态、被动斜坡结果来自仓库既有 Native 收据；本次未运行新的机器人或 Agent 实验。</x:v>
      </x:c>
      <x:c r="P53" s="29" t="str">
        <x:v>https://github.com/XuanCheg/Show-Harness-Explore/blob/33bada4bb278471b7a925cd8ddfa3d46a19f52fb/explore_to_achieve/tasks/Temporal%20Understanding/Unobserved%20Change/house_single_floor/redesign_20261020/category_7fd79b0d5819ace319f077c7.yaml</x:v>
      </x:c>
      <x:c r="Q53" s="16" t="str">
        <x:v>category_7fd79b0d5819ace319f077c7</x:v>
      </x:c>
    </x:row>
    <x:row r="54" ht="87" customHeight="1">
      <x:c r="A54" s="19" t="str">
        <x:v>T49</x:v>
      </x:c>
      <x:c r="B54" s="22" t="str">
        <x:v>是</x:v>
      </x:c>
      <x:c r="C54" s="19" t="str">
        <x:v>现有候选／待运行认证</x:v>
      </x:c>
      <x:c r="D54" s="19" t="str">
        <x:v>hall_arch_wood</x:v>
      </x:c>
      <x:c r="E54" s="19" t="str">
        <x:v>empty_room_0</x:v>
      </x:c>
      <x:c r="F54" s="19" t="str">
        <x:v>Physical Structure</x:v>
      </x:c>
      <x:c r="G54" s="19" t="str">
        <x:v>Deformable</x:v>
      </x:c>
      <x:c r="H54" s="19" t="str">
        <x:v>Embodied Grounding</x:v>
      </x:c>
      <x:c r="I54" s="19" t="str">
        <x:v>Reveal and retrieve through deformable occlusion</x:v>
      </x:c>
      <x:c r="J54" s="19" t="str">
        <x:v>1 条真实浴巾 + 1 个遮盖物</x:v>
      </x:c>
      <x:c r="K54" s="26" t="str">
        <x:v>房间／可通行面积待测；局部尺度见范围列</x:v>
      </x:c>
      <x:c r="L54" s="19" t="str">
        <x:v>局部揭布/抓取；布料缩放 1.0；需测扫布及手臂净空间</x:v>
      </x:c>
      <x:c r="M54" s="19" t="str">
        <x:v>1真实浴巾+1番茄，1.0倍布；保留9视图/独立reset历史证据，但遮盖有效与真实手部揭布可行是两件事。单物体无需身份选择，信息推理负担较弱。</x:v>
      </x:c>
      <x:c r="N54" s="19" t="str">
        <x:v>保留为揭布后取回控制基线</x:v>
      </x:c>
      <x:c r="O54" s="19" t="str">
        <x:v>当前 manifest/task/scene 静态核对；部分尺寸、初态、被动斜坡结果来自仓库既有 Native 收据；本次未运行新的机器人或 Agent 实验。</x:v>
      </x:c>
      <x:c r="P54" s="30" t="str">
        <x:v>https://github.com/XuanCheg/Show-Harness-Explore/blob/33bada4bb278471b7a925cd8ddfa3d46a19f52fb/explore_to_achieve/tasks/Physical%20Structure/Deformable/hall_arch_wood/redesign_20261020/category_9fd3d70ee489c4228f5f44ec.yaml</x:v>
      </x:c>
      <x:c r="Q54" s="19" t="str">
        <x:v>category_9fd3d70ee489c4228f5f44ec</x:v>
      </x:c>
    </x:row>
    <x:row r="55" ht="87" customHeight="1">
      <x:c r="A55" s="16" t="str">
        <x:v>T50</x:v>
      </x:c>
      <x:c r="B55" s="21" t="str">
        <x:v>是</x:v>
      </x:c>
      <x:c r="C55" s="16" t="str">
        <x:v>现有候选／待运行认证</x:v>
      </x:c>
      <x:c r="D55" s="16" t="str">
        <x:v>hall_arch_wood</x:v>
      </x:c>
      <x:c r="E55" s="16" t="str">
        <x:v>empty_room_0</x:v>
      </x:c>
      <x:c r="F55" s="16" t="str">
        <x:v>Physical Structure</x:v>
      </x:c>
      <x:c r="G55" s="16" t="str">
        <x:v>Deformable</x:v>
      </x:c>
      <x:c r="H55" s="16" t="str">
        <x:v>Embodied Grounding</x:v>
      </x:c>
      <x:c r="I55" s="16" t="str">
        <x:v>Reveal and retrieve through deformable occlusion</x:v>
      </x:c>
      <x:c r="J55" s="16" t="str">
        <x:v>1 条真实浴巾 + 2 个遮盖物 + 1 送达托盘</x:v>
      </x:c>
      <x:c r="K55" s="25" t="str">
        <x:v>房间／可通行面积待测；局部尺度见范围列</x:v>
      </x:c>
      <x:c r="L55" s="16" t="str">
        <x:v>局部揭布/抓取；布料缩放 1.0；需测扫布及手臂净空间</x:v>
      </x:c>
      <x:c r="M55" s="16" t="str">
        <x:v>1真实浴巾+番茄目标+plain bun干扰物+送达托盘；与单番茄同源/同地点。真正把揭示信息接到身份选择，较适合主赛道。检查扫布是否可在不推移受保护物的情况下完成。</x:v>
      </x:c>
      <x:c r="N55" s="16" t="str">
        <x:v>优先保留为揭布后选择与送达</x:v>
      </x:c>
      <x:c r="O55" s="16" t="str">
        <x:v>当前 manifest/task/scene 静态核对；部分尺寸、初态、被动斜坡结果来自仓库既有 Native 收据；本次未运行新的机器人或 Agent 实验。</x:v>
      </x:c>
      <x:c r="P55" s="29" t="str">
        <x:v>https://github.com/XuanCheg/Show-Harness-Explore/blob/33bada4bb278471b7a925cd8ddfa3d46a19f52fb/explore_to_achieve/tasks/Physical%20Structure/Deformable/hall_arch_wood/redesign_20261020/category_fb64ed932434e097adc84053.yaml</x:v>
      </x:c>
      <x:c r="Q55" s="16" t="str">
        <x:v>category_fb64ed932434e097adc84053</x:v>
      </x:c>
    </x:row>
    <x:row r="56" ht="87" customHeight="1">
      <x:c r="A56" s="19" t="str">
        <x:v>T51</x:v>
      </x:c>
      <x:c r="B56" s="22" t="str">
        <x:v>是</x:v>
      </x:c>
      <x:c r="C56" s="19" t="str">
        <x:v>现有候选／待运行认证</x:v>
      </x:c>
      <x:c r="D56" s="19" t="str">
        <x:v>hall_arch_wood</x:v>
      </x:c>
      <x:c r="E56" s="19" t="str">
        <x:v>bathroom_0</x:v>
      </x:c>
      <x:c r="F56" s="19" t="str">
        <x:v>Physical Structure</x:v>
      </x:c>
      <x:c r="G56" s="19" t="str">
        <x:v>Deformable</x:v>
      </x:c>
      <x:c r="H56" s="19" t="str">
        <x:v>Embodied Grounding</x:v>
      </x:c>
      <x:c r="I56" s="19" t="str">
        <x:v>Reveal and retrieve through deformable occlusion</x:v>
      </x:c>
      <x:c r="J56" s="19" t="str">
        <x:v>1 条真实浴巾 + 1 个遮盖物</x:v>
      </x:c>
      <x:c r="K56" s="26" t="str">
        <x:v>房间／可通行面积待测；局部尺度见范围列</x:v>
      </x:c>
      <x:c r="L56" s="19" t="str">
        <x:v>局部揭布/抓取；布料缩放 1.3；需测扫布及手臂净空间</x:v>
      </x:c>
      <x:c r="M56" s="19" t="str">
        <x:v>1真实浴巾+卫生巾盒，浴巾1.3倍、bathroom_0；仅房间名不能判狭小，需实际局部扫布空间/低位抓取/布边到墙距离。仍是单物体揭布取回，非独立信息推理机制。</x:v>
      </x:c>
      <x:c r="N56" s="19" t="str">
        <x:v>保留为不同物体/局部空间揭布压力测试</x:v>
      </x:c>
      <x:c r="O56" s="19" t="str">
        <x:v>当前 manifest/task/scene 静态核对；部分尺寸、初态、被动斜坡结果来自仓库既有 Native 收据；本次未运行新的机器人或 Agent 实验。</x:v>
      </x:c>
      <x:c r="P56" s="30" t="str">
        <x:v>https://github.com/XuanCheg/Show-Harness-Explore/blob/33bada4bb278471b7a925cd8ddfa3d46a19f52fb/explore_to_achieve/tasks/Physical%20Structure/Deformable/hall_arch_wood/redesign_20261020/category_e2b21727ae8a25c6b7b860d5.yaml</x:v>
      </x:c>
      <x:c r="Q56" s="19" t="str">
        <x:v>category_e2b21727ae8a25c6b7b860d5</x:v>
      </x:c>
    </x:row>
    <x:row r="57" ht="72" customHeight="1">
      <x:c r="A57" s="16" t="str">
        <x:v>R-C1</x:v>
      </x:c>
      <x:c r="B57" s="21" t="str">
        <x:v>是</x:v>
      </x:c>
      <x:c r="C57" s="16" t="str">
        <x:v>新增方案／未实现</x:v>
      </x:c>
      <x:c r="D57" s="16" t="str">
        <x:v>Ihlen_0_int</x:v>
      </x:c>
      <x:c r="E57" s="16" t="str">
        <x:v>garage_0</x:v>
      </x:c>
      <x:c r="F57" s="16" t="str">
        <x:v>Specular Reflection</x:v>
      </x:c>
      <x:c r="G57" s="16" t="str">
        <x:v>Correspondence</x:v>
      </x:c>
      <x:c r="H57" s="16" t="str">
        <x:v>Embodied Grounding</x:v>
      </x:c>
      <x:c r="I57" s="16" t="str">
        <x:v>Mirror correspondence and retrieval</x:v>
      </x:c>
      <x:c r="J57" s="16" t="str">
        <x:v>3 个 tequila bottle 候选 + 1 镜面；送达区待实现</x:v>
      </x:c>
      <x:c r="K57" s="25" t="str">
        <x:v>待测；源坐标不提供房间或可通行面积</x:v>
      </x:c>
      <x:c r="L57" s="16" t="str">
        <x:v>局部镜像对应与取回；源观察点至物体 XY 距离 1.51–1.91 m，候选最大 XY 间距 1.177 m；源 FOV 100°</x:v>
      </x:c>
      <x:c r="M57" s="16" t="str">
        <x:v>源物体为 visual_only，低位放置。三同类物体必须有唯一镜像对应证据；不能把固定 left 答案或位置当身份。缩放机器人以对齐相机也会缩小夹爪和手臂。</x:v>
      </x:c>
      <x:c r="N57" s="16" t="str">
        <x:v>保留首个镜像对应试点；冻结初始镜像指代，验证真实本体对应后取回送达；对照全 8 路实际输入、局部瓶身夹取和物理支持。</x:v>
      </x:c>
      <x:c r="O57" s="16" t="str">
        <x:v>本次已读取原始 ESI JSON 和原始 common.py，核对静态几何/FOV/visual_only；无新增 native 初始化、光学截图验证或完整执行。</x:v>
      </x:c>
      <x:c r="P57" s="29" t="str">
        <x:v>https://github.com/ESI-Bench/ESI-Bench/blob/9f6f15ed43e81654a97de9e4db2a1fedadca2bc1/dataset/json_clean/Specular%20Reflection/Correspondence/Ihlen_0_int/garage_0/q_000.json</x:v>
      </x:c>
      <x:c r="Q57" s="16" t="str">
        <x:v>plan_reflection_correspondence_1</x:v>
      </x:c>
    </x:row>
    <x:row r="58" ht="72" customHeight="1">
      <x:c r="A58" s="19" t="str">
        <x:v>R-C2</x:v>
      </x:c>
      <x:c r="B58" s="22" t="str">
        <x:v>是</x:v>
      </x:c>
      <x:c r="C58" s="19" t="str">
        <x:v>新增方案／未实现</x:v>
      </x:c>
      <x:c r="D58" s="19" t="str">
        <x:v>hall_glass_ceiling</x:v>
      </x:c>
      <x:c r="E58" s="19" t="str">
        <x:v>empty_room_0</x:v>
      </x:c>
      <x:c r="F58" s="19" t="str">
        <x:v>Specular Reflection</x:v>
      </x:c>
      <x:c r="G58" s="19" t="str">
        <x:v>Correspondence</x:v>
      </x:c>
      <x:c r="H58" s="19" t="str">
        <x:v>Embodied Grounding</x:v>
      </x:c>
      <x:c r="I58" s="19" t="str">
        <x:v>Mirror correspondence and retrieval</x:v>
      </x:c>
      <x:c r="J58" s="19" t="str">
        <x:v>3 个 drip pot 候选 + 1 镜面；送达区待实现</x:v>
      </x:c>
      <x:c r="K58" s="26" t="str">
        <x:v>待测；源坐标不提供房间或可通行面积</x:v>
      </x:c>
      <x:c r="L58" s="19" t="str">
        <x:v>hall_glass_ceiling 局部任务；源 XY 距离 2.20–2.45 m，候选最大间距 1.626 m；源 FOV 100°</x:v>
      </x:c>
      <x:c r="M58" s="19" t="str">
        <x:v>3 个对应题中候选跨度最大，源物体低位；初始相机光学匹配不证明底盘可通行或手可抓壶。窄位移约束可能与送达冲突。</x:v>
      </x:c>
      <x:c r="N58" s="19" t="str">
        <x:v>保留为较大局部跨度变体；逐候选验证接近、局部夹持和运输路线。冻结 source middle 的指代语义但不把正确答案暴露在 prompt。</x:v>
      </x:c>
      <x:c r="O58" s="19" t="str">
        <x:v>本次已读取原始 ESI JSON 和原始 common.py，核对静态几何/FOV/visual_only；无新增 native 初始化、光学截图验证或完整执行。</x:v>
      </x:c>
      <x:c r="P58" s="30" t="str">
        <x:v>https://github.com/ESI-Bench/ESI-Bench/blob/9f6f15ed43e81654a97de9e4db2a1fedadca2bc1/dataset/json_clean/Specular%20Reflection/Correspondence/hall_glass_ceiling/empty_room_0/q_007.json</x:v>
      </x:c>
      <x:c r="Q58" s="19" t="str">
        <x:v>plan_reflection_correspondence_2</x:v>
      </x:c>
    </x:row>
    <x:row r="59" ht="72" customHeight="1">
      <x:c r="A59" s="16" t="str">
        <x:v>R-C3</x:v>
      </x:c>
      <x:c r="B59" s="21" t="str">
        <x:v>是</x:v>
      </x:c>
      <x:c r="C59" s="16" t="str">
        <x:v>新增方案／未实现</x:v>
      </x:c>
      <x:c r="D59" s="16" t="str">
        <x:v>Beechwood_0_garden</x:v>
      </x:c>
      <x:c r="E59" s="16" t="str">
        <x:v>living_room_0</x:v>
      </x:c>
      <x:c r="F59" s="16" t="str">
        <x:v>Specular Reflection</x:v>
      </x:c>
      <x:c r="G59" s="16" t="str">
        <x:v>Correspondence</x:v>
      </x:c>
      <x:c r="H59" s="16" t="str">
        <x:v>Embodied Grounding</x:v>
      </x:c>
      <x:c r="I59" s="16" t="str">
        <x:v>Mirror correspondence and retrieval</x:v>
      </x:c>
      <x:c r="J59" s="16" t="str">
        <x:v>3 个 pasta box 候选 + 1 镜面；送达区待实现</x:v>
      </x:c>
      <x:c r="K59" s="25" t="str">
        <x:v>待测；源坐标不提供房间或可通行面积</x:v>
      </x:c>
      <x:c r="L59" s="16" t="str">
        <x:v>Beechwood garden living room；源 XY 距离 1.91–2.20 m，最大间距 1.059 m；源 FOV 100°</x:v>
      </x:c>
      <x:c r="M59" s="16" t="str">
        <x:v>盒体尺寸和低位抓取需要核查；固定朝向、位置或正面纹理可能替代镜像对应。源 visual_only 不能直接作为 manipulation 资产。</x:v>
      </x:c>
      <x:c r="N59" s="16" t="str">
        <x:v>保留不同形状变体；验证局部可抓部位与真实碰撞。围绕合法光学关系生成位置/朝向平衡变体，不能暗改源答案。</x:v>
      </x:c>
      <x:c r="O59" s="16" t="str">
        <x:v>本次已读取原始 ESI JSON 和原始 common.py，核对静态几何/FOV/visual_only；无新增 native 初始化、光学截图验证或完整执行。</x:v>
      </x:c>
      <x:c r="P59" s="29" t="str">
        <x:v>https://github.com/ESI-Bench/ESI-Bench/blob/9f6f15ed43e81654a97de9e4db2a1fedadca2bc1/dataset/json_clean/Specular%20Reflection/Correspondence/Beechwood_0_garden/living_room_0/q_003.json</x:v>
      </x:c>
      <x:c r="Q59" s="16" t="str">
        <x:v>plan_reflection_correspondence_3</x:v>
      </x:c>
    </x:row>
    <x:row r="60" ht="72" customHeight="1">
      <x:c r="A60" s="19" t="str">
        <x:v>R-S1</x:v>
      </x:c>
      <x:c r="B60" s="22" t="str">
        <x:v>是</x:v>
      </x:c>
      <x:c r="C60" s="19" t="str">
        <x:v>新增方案／未实现</x:v>
      </x:c>
      <x:c r="D60" s="19" t="str">
        <x:v>Merom_0_garden</x:v>
      </x:c>
      <x:c r="E60" s="19" t="str">
        <x:v>living_room_0</x:v>
      </x:c>
      <x:c r="F60" s="19" t="str">
        <x:v>Specular Reflection</x:v>
      </x:c>
      <x:c r="G60" s="19" t="str">
        <x:v>Spatial Relations</x:v>
      </x:c>
      <x:c r="H60" s="19" t="str">
        <x:v>Spatial Reconfiguration</x:v>
      </x:c>
      <x:c r="I60" s="19" t="str">
        <x:v>Reflection-grounded distance-order reversal</x:v>
      </x:c>
      <x:c r="J60" s="19" t="str">
        <x:v>2 个物体：vodka bottle A、supplement bottle B + 1 镜面</x:v>
      </x:c>
      <x:c r="K60" s="26" t="str">
        <x:v>待测；源坐标不提供房间或可通行面积</x:v>
      </x:c>
      <x:c r="L60" s="19" t="str">
        <x:v>源 FOV 70°；观察点到 A/B 的 3D 距离约 0.818/1.231 m（XY 0.495/0.990 m）</x:v>
      </x:c>
      <x:c r="M60" s="19" t="str">
        <x:v>A 原本更近；移动后若用实时头部位置重定义近远，会让机器人行走改变题意。低位物体与近距离底盘空间需要核对。</x:v>
      </x:c>
      <x:c r="N60" s="19" t="str">
        <x:v>优先作为距离反转试点；固定初始参考观察点，实际移动指定物体反转关系；稳定终态的距离间隔需超过物理与测量噪声。</x:v>
      </x:c>
      <x:c r="O60" s="19" t="str">
        <x:v>本次已读取原始 ESI JSON 和原始 common.py，核对静态几何/FOV/visual_only；无新增 native 初始化、光学截图验证或完整执行。</x:v>
      </x:c>
      <x:c r="P60" s="30" t="str">
        <x:v>https://github.com/ESI-Bench/ESI-Bench/blob/9f6f15ed43e81654a97de9e4db2a1fedadca2bc1/dataset/json_clean/Specular%20Reflection/Spatial%20Relations/Merom_0_garden/living_room_0/q_003.json</x:v>
      </x:c>
      <x:c r="Q60" s="19" t="str">
        <x:v>plan_reflection_spatial_1</x:v>
      </x:c>
    </x:row>
    <x:row r="61" ht="72" customHeight="1">
      <x:c r="A61" s="16" t="str">
        <x:v>R-S2</x:v>
      </x:c>
      <x:c r="B61" s="21" t="str">
        <x:v>是</x:v>
      </x:c>
      <x:c r="C61" s="16" t="str">
        <x:v>新增方案／未实现</x:v>
      </x:c>
      <x:c r="D61" s="16" t="str">
        <x:v>Wainscott_0_garden</x:v>
      </x:c>
      <x:c r="E61" s="16" t="str">
        <x:v>living_room_2</x:v>
      </x:c>
      <x:c r="F61" s="16" t="str">
        <x:v>Specular Reflection</x:v>
      </x:c>
      <x:c r="G61" s="16" t="str">
        <x:v>Spatial Relations</x:v>
      </x:c>
      <x:c r="H61" s="16" t="str">
        <x:v>Spatial Reconfiguration</x:v>
      </x:c>
      <x:c r="I61" s="16" t="str">
        <x:v>Reflection-grounded distance-order reversal</x:v>
      </x:c>
      <x:c r="J61" s="16" t="str">
        <x:v>2 个物体：chili plant A、alarm clock B + 1 镜面</x:v>
      </x:c>
      <x:c r="K61" s="25" t="str">
        <x:v>待测；源坐标不提供房间或可通行面积</x:v>
      </x:c>
      <x:c r="L61" s="16" t="str">
        <x:v>源 FOV 70°；A/B 3D 距离约 1.595/1.345 m，距离差约 0.250 m</x:v>
      </x:c>
      <x:c r="M61" s="16" t="str">
        <x:v>三项反转题中源远近差最小；植物几何/碰撞、低位抓取和沉降可能影响尺度与稳定性。不能靠移动头部满足目标。</x:v>
      </x:c>
      <x:c r="N61" s="16" t="str">
        <x:v>保留更细距离差变体；冻结参考点并设置可解释的反转余量；分别验证花盆局部握持及钟体抓取。</x:v>
      </x:c>
      <x:c r="O61" s="16" t="str">
        <x:v>本次已读取原始 ESI JSON 和原始 common.py，核对静态几何/FOV/visual_only；无新增 native 初始化、光学截图验证或完整执行。</x:v>
      </x:c>
      <x:c r="P61" s="29" t="str">
        <x:v>https://github.com/ESI-Bench/ESI-Bench/blob/9f6f15ed43e81654a97de9e4db2a1fedadca2bc1/dataset/json_clean/Specular%20Reflection/Spatial%20Relations/Wainscott_0_garden/living_room_2/q_001.json</x:v>
      </x:c>
      <x:c r="Q61" s="16" t="str">
        <x:v>plan_reflection_spatial_2</x:v>
      </x:c>
    </x:row>
    <x:row r="62" ht="72" customHeight="1">
      <x:c r="A62" s="19" t="str">
        <x:v>R-S3</x:v>
      </x:c>
      <x:c r="B62" s="22" t="str">
        <x:v>是</x:v>
      </x:c>
      <x:c r="C62" s="19" t="str">
        <x:v>新增方案／未实现</x:v>
      </x:c>
      <x:c r="D62" s="19" t="str">
        <x:v>house_double_floor_lower</x:v>
      </x:c>
      <x:c r="E62" s="19" t="str">
        <x:v>living_room_0</x:v>
      </x:c>
      <x:c r="F62" s="19" t="str">
        <x:v>Specular Reflection</x:v>
      </x:c>
      <x:c r="G62" s="19" t="str">
        <x:v>Spatial Relations</x:v>
      </x:c>
      <x:c r="H62" s="19" t="str">
        <x:v>Spatial Reconfiguration</x:v>
      </x:c>
      <x:c r="I62" s="19" t="str">
        <x:v>Reflection-grounded distance-order reversal</x:v>
      </x:c>
      <x:c r="J62" s="19" t="str">
        <x:v>2 个物体：shampoo bottle A、vase B + 1 镜面</x:v>
      </x:c>
      <x:c r="K62" s="26" t="str">
        <x:v>待测；源坐标不提供房间或可通行面积</x:v>
      </x:c>
      <x:c r="L62" s="19" t="str">
        <x:v>源 FOV 70°；A/B 3D 距离约 1.900/1.273 m（XY 1.785/1.050 m）</x:v>
      </x:c>
      <x:c r="M62" s="19" t="str">
        <x:v>源 B 更近；花瓶局部握持与低位空间未验证。两层楼名称不代表需要跨楼操作；不能额外引入无关导航负担。</x:v>
      </x:c>
      <x:c r="N62" s="19" t="str">
        <x:v>保留形状和距离差变体；限定真实相关工作区，冻结参考后重排并稳定释放；确认动作改变的是物体关系。</x:v>
      </x:c>
      <x:c r="O62" s="19" t="str">
        <x:v>本次已读取原始 ESI JSON 和原始 common.py，核对静态几何/FOV/visual_only；无新增 native 初始化、光学截图验证或完整执行。</x:v>
      </x:c>
      <x:c r="P62" s="30" t="str">
        <x:v>https://github.com/ESI-Bench/ESI-Bench/blob/9f6f15ed43e81654a97de9e4db2a1fedadca2bc1/dataset/json_clean/Specular%20Reflection/Spatial%20Relations/house_double_floor_lower/living_room_0/q_000.json</x:v>
      </x:c>
      <x:c r="Q62" s="19" t="str">
        <x:v>plan_reflection_spatial_3</x:v>
      </x:c>
    </x:row>
    <x:row r="63" ht="72" customHeight="1">
      <x:c r="A63" s="16" t="str">
        <x:v>R-A1</x:v>
      </x:c>
      <x:c r="B63" s="21" t="str">
        <x:v>是</x:v>
      </x:c>
      <x:c r="C63" s="16" t="str">
        <x:v>新增方案／未实现</x:v>
      </x:c>
      <x:c r="D63" s="16" t="str">
        <x:v>hall_glass_ceiling</x:v>
      </x:c>
      <x:c r="E63" s="16" t="str">
        <x:v>empty_room_0</x:v>
      </x:c>
      <x:c r="F63" s="16" t="str">
        <x:v>Specular Reflection</x:v>
      </x:c>
      <x:c r="G63" s="16" t="str">
        <x:v>Reflection Authoring</x:v>
      </x:c>
      <x:c r="H63" s="16" t="str">
        <x:v>Embodied Grounding</x:v>
      </x:c>
      <x:c r="I63" s="16" t="str">
        <x:v>Direct/reflected classification and conditional delivery</x:v>
      </x:c>
      <x:c r="J63" s="16" t="str">
        <x:v>1 个 reagent bottle + 1 镜面；条件送达区待实现</x:v>
      </x:c>
      <x:c r="K63" s="25" t="str">
        <x:v>待测；源坐标不提供房间或可通行面积</x:v>
      </x:c>
      <x:c r="L63" s="16" t="str">
        <x:v>源 Yes（反射）；FOV 100°；瓶与原相机 XY 完全重合，源高度约 0.112/0.810 m</x:v>
      </x:c>
      <x:c r="M63" s="16" t="str">
        <x:v>优先物理初始化风险：相机与低位瓶同 XY；在对齐真实头相机时，本体可能占据瓶的空间。源 visual_only 隐藏了碰撞问题；并非已证明无解。</x:v>
      </x:c>
      <x:c r="N63" s="16" t="str">
        <x:v>先联合求解相机姿态、机器人缩放、底盘及瓶的碰撞；有合法解后再制作条件送达。若无解，明确替换 source 或申请独立适配 revision，不悬空/禁碰撞伪通过。</x:v>
      </x:c>
      <x:c r="O63" s="16" t="str">
        <x:v>本次已读取原始 ESI JSON 和原始 common.py，核对静态几何/FOV/visual_only；无新增 native 初始化、光学截图验证或完整执行。</x:v>
      </x:c>
      <x:c r="P63" s="29" t="str">
        <x:v>https://github.com/ESI-Bench/ESI-Bench/blob/9f6f15ed43e81654a97de9e4db2a1fedadca2bc1/dataset/json_clean/Specular%20Reflection/Reflection%20Authoring/hall_glass_ceiling/empty_room_0/q_000.json</x:v>
      </x:c>
      <x:c r="Q63" s="16" t="str">
        <x:v>plan_reflection_authoring_1</x:v>
      </x:c>
    </x:row>
    <x:row r="64" ht="72" customHeight="1">
      <x:c r="A64" s="19" t="str">
        <x:v>R-A2</x:v>
      </x:c>
      <x:c r="B64" s="22" t="str">
        <x:v>是</x:v>
      </x:c>
      <x:c r="C64" s="19" t="str">
        <x:v>新增方案／未实现</x:v>
      </x:c>
      <x:c r="D64" s="19" t="str">
        <x:v>restaurant_hotel</x:v>
      </x:c>
      <x:c r="E64" s="19" t="str">
        <x:v>dining_room_0</x:v>
      </x:c>
      <x:c r="F64" s="19" t="str">
        <x:v>Specular Reflection</x:v>
      </x:c>
      <x:c r="G64" s="19" t="str">
        <x:v>Reflection Authoring</x:v>
      </x:c>
      <x:c r="H64" s="19" t="str">
        <x:v>Embodied Grounding</x:v>
      </x:c>
      <x:c r="I64" s="19" t="str">
        <x:v>Direct/reflected classification and conditional delivery</x:v>
      </x:c>
      <x:c r="J64" s="19" t="str">
        <x:v>1 个 milk carton + 1 镜面；条件送达区待实现</x:v>
      </x:c>
      <x:c r="K64" s="26" t="str">
        <x:v>待测；源坐标不提供房间或可通行面积</x:v>
      </x:c>
      <x:c r="L64" s="19" t="str">
        <x:v>源 No（直视）；FOV 100°；观察点到物体 XY 距离约 2.886 m</x:v>
      </x:c>
      <x:c r="M64" s="19" t="str">
        <x:v>较远低位目标可能超出旧版头部水平半径 1 m 的观察约束；它是直视/反射判断对照，不能全部标为依赖反射信息。</x:v>
      </x:c>
      <x:c r="N64" s="19" t="str">
        <x:v>保留 direct 分支以平衡决策；动作版独立设置合法接近/送达预算，冻结初始判定；验证盒体抓取与目标区可达。</x:v>
      </x:c>
      <x:c r="O64" s="19" t="str">
        <x:v>本次已读取原始 ESI JSON 和原始 common.py，核对静态几何/FOV/visual_only；无新增 native 初始化、光学截图验证或完整执行。</x:v>
      </x:c>
      <x:c r="P64" s="30" t="str">
        <x:v>https://github.com/ESI-Bench/ESI-Bench/blob/9f6f15ed43e81654a97de9e4db2a1fedadca2bc1/dataset/json_clean/Specular%20Reflection/Reflection%20Authoring/restaurant_hotel/dining_room_0/q_001.json</x:v>
      </x:c>
      <x:c r="Q64" s="19" t="str">
        <x:v>plan_reflection_authoring_2</x:v>
      </x:c>
    </x:row>
    <x:row r="65" ht="60" customHeight="1">
      <x:c r="A65" s="16" t="str">
        <x:v>D1-1</x:v>
      </x:c>
      <x:c r="B65" s="21" t="str">
        <x:v>是</x:v>
      </x:c>
      <x:c r="C65" s="16" t="str">
        <x:v>新增方案／未实现</x:v>
      </x:c>
      <x:c r="D65" s="16" t="str">
        <x:v>Beechwood (exact scene uncommitted)</x:v>
      </x:c>
      <x:c r="E65" s="16" t="str">
        <x:v>dining_room (uncommitted)</x:v>
      </x:c>
      <x:c r="F65" s="16" t="str">
        <x:v>Metric Comparison</x:v>
      </x:c>
      <x:c r="G65" s="16" t="str">
        <x:v>Dimension-Constrained Insertion</x:v>
      </x:c>
      <x:c r="H65" s="16" t="str">
        <x:v>Geometric Feasibility &amp; Containment</x:v>
      </x:c>
      <x:c r="I65" s="16" t="str">
        <x:v>Width-constrained insertion</x:v>
      </x:c>
      <x:c r="J65" s="16" t="str">
        <x:v>拟 3 个尺寸冲突候选 + 1 个受限入口；最终资产未定</x:v>
      </x:c>
      <x:c r="K65" s="25" t="str">
        <x:v>待测；源坐标不提供房间或可通行面积</x:v>
      </x:c>
      <x:c r="L65" s="16" t="str">
        <x:v>Beechwood dining room 仅是预选房型，准确 scene/room 未提交；局部插入工作站</x:v>
      </x:c>
      <x:c r="M65" s="16" t="str">
        <x:v>若只按默认姿态比较宽度，错误候选旋转后也可能通过；若仅部分放进容器，会与现有 Rigid 重复。</x:v>
      </x:c>
      <x:c r="N65" s="16" t="str">
        <x:v>要求真实穿过入口至合格终态；验证允许姿态集合中的唯一可行候选，以及物体、夹爪与撤手的完整路径。先选宽约束清晰的局部工作区。</x:v>
      </x:c>
      <x:c r="O65" s="16" t="str">
        <x:v>既定讨论方案；本次进行设计审查。D1/D2无正式task YAML、锁定的具体scene、资产尺寸或物理执行证据；不提供虚构来源链接。</x:v>
      </x:c>
      <x:c r="P65" s="29" t="str"/>
      <x:c r="Q65" s="16" t="str">
        <x:v>plan_size_d1_1</x:v>
      </x:c>
    </x:row>
    <x:row r="66" ht="60" customHeight="1">
      <x:c r="A66" s="19" t="str">
        <x:v>D1-2</x:v>
      </x:c>
      <x:c r="B66" s="22" t="str">
        <x:v>是</x:v>
      </x:c>
      <x:c r="C66" s="19" t="str">
        <x:v>新增方案／未实现</x:v>
      </x:c>
      <x:c r="D66" s="19" t="str">
        <x:v>Merom (exact scene uncommitted)</x:v>
      </x:c>
      <x:c r="E66" s="19" t="str">
        <x:v>playroom (uncommitted)</x:v>
      </x:c>
      <x:c r="F66" s="19" t="str">
        <x:v>Metric Comparison</x:v>
      </x:c>
      <x:c r="G66" s="19" t="str">
        <x:v>Dimension-Constrained Insertion</x:v>
      </x:c>
      <x:c r="H66" s="19" t="str">
        <x:v>Geometric Feasibility &amp; Containment</x:v>
      </x:c>
      <x:c r="I66" s="19" t="str">
        <x:v>Joint width-height constrained insertion</x:v>
      </x:c>
      <x:c r="J66" s="19" t="str">
        <x:v>拟 3 个候选 + 1 个有顶隔间；最终资产未定</x:v>
      </x:c>
      <x:c r="K66" s="26" t="str">
        <x:v>待测；源坐标不提供房间或可通行面积</x:v>
      </x:c>
      <x:c r="L66" s="19" t="str">
        <x:v>Merom playroom 为预选；宽与高共同约束，局部工作区大小待测</x:v>
      </x:c>
      <x:c r="M66" s="19" t="str">
        <x:v>顶板净高可能允许物体却不允许持物手进入或撤出；候选宽/高若同方向排序，模型只比较整体大小即可。</x:v>
      </x:c>
      <x:c r="N66" s="19" t="str">
        <x:v>设计宽高冲突且正确候选唯一；实际验证末端进入、释放、撤出。不要为制造难度加无关跨房路线。</x:v>
      </x:c>
      <x:c r="O66" s="19" t="str">
        <x:v>既定讨论方案；本次进行设计审查。D1/D2无正式task YAML、锁定的具体scene、资产尺寸或物理执行证据；不提供虚构来源链接。</x:v>
      </x:c>
      <x:c r="P66" s="30" t="str"/>
      <x:c r="Q66" s="19" t="str">
        <x:v>plan_size_d1_2</x:v>
      </x:c>
    </x:row>
    <x:row r="67" ht="60" customHeight="1">
      <x:c r="A67" s="16" t="str">
        <x:v>D1-3</x:v>
      </x:c>
      <x:c r="B67" s="21" t="str">
        <x:v>是</x:v>
      </x:c>
      <x:c r="C67" s="16" t="str">
        <x:v>新增方案／未实现</x:v>
      </x:c>
      <x:c r="D67" s="16" t="str">
        <x:v>house_double_floor (exact scene uncommitted)</x:v>
      </x:c>
      <x:c r="E67" s="16" t="str">
        <x:v>living_room (uncommitted)</x:v>
      </x:c>
      <x:c r="F67" s="16" t="str">
        <x:v>Metric Comparison</x:v>
      </x:c>
      <x:c r="G67" s="16" t="str">
        <x:v>Dimension-Constrained Insertion</x:v>
      </x:c>
      <x:c r="H67" s="16" t="str">
        <x:v>Geometric Feasibility &amp; Containment</x:v>
      </x:c>
      <x:c r="I67" s="16" t="str">
        <x:v>Depth-orientation constrained insertion</x:v>
      </x:c>
      <x:c r="J67" s="16" t="str">
        <x:v>拟 3 个候选 + 1 个深度/朝向受限入口；最终资产未定</x:v>
      </x:c>
      <x:c r="K67" s="25" t="str">
        <x:v>待测；源坐标不提供房间或可通行面积</x:v>
      </x:c>
      <x:c r="L67" s="16" t="str">
        <x:v>house_double_floor living room 为预选；准确楼层与布局未锁定</x:v>
      </x:c>
      <x:c r="M67" s="16" t="str">
        <x:v>转动避障或深度约束可能变成极窄低级控制问题；默认 AABB 尺寸不能证明所有合法朝向都不可行。</x:v>
      </x:c>
      <x:c r="N67" s="16" t="str">
        <x:v>用有明显几何余量的路径约束区分 D1-2；评估持物扫掠体积及朝向合法性，验证完整通过，而非只检查最终相交/部分插入。</x:v>
      </x:c>
      <x:c r="O67" s="16" t="str">
        <x:v>既定讨论方案；本次进行设计审查。D1/D2无正式task YAML、锁定的具体scene、资产尺寸或物理执行证据；不提供虚构来源链接。</x:v>
      </x:c>
      <x:c r="P67" s="29" t="str"/>
      <x:c r="Q67" s="16" t="str">
        <x:v>plan_size_d1_3</x:v>
      </x:c>
    </x:row>
    <x:row r="68" ht="60" customHeight="1">
      <x:c r="A68" s="19" t="str">
        <x:v>D2-1</x:v>
      </x:c>
      <x:c r="B68" s="22" t="str">
        <x:v>是</x:v>
      </x:c>
      <x:c r="C68" s="19" t="str">
        <x:v>新增方案／未实现</x:v>
      </x:c>
      <x:c r="D68" s="19" t="str">
        <x:v>Beechwood (exact scene uncommitted)</x:v>
      </x:c>
      <x:c r="E68" s="19" t="str">
        <x:v>kitchen (uncommitted)</x:v>
      </x:c>
      <x:c r="F68" s="19" t="str">
        <x:v>Metric Comparison</x:v>
      </x:c>
      <x:c r="G68" s="19" t="str">
        <x:v>Relational Sorting</x:v>
      </x:c>
      <x:c r="H68" s="19" t="str">
        <x:v>Spatial Reconfiguration</x:v>
      </x:c>
      <x:c r="I68" s="19" t="str">
        <x:v>Height-based physical sorting</x:v>
      </x:c>
      <x:c r="J68" s="19" t="str">
        <x:v>拟 3 个待排序物体 + 3 个放置位置；最终资产未定</x:v>
      </x:c>
      <x:c r="K68" s="26" t="str">
        <x:v>待测；源坐标不提供房间或可通行面积</x:v>
      </x:c>
      <x:c r="L68" s="19" t="str">
        <x:v>Beechwood kitchen 为预选；同一可达台面上的高度排序</x:v>
      </x:c>
      <x:c r="M68" s="19" t="str">
        <x:v>按世界坐标 AABB 高度排序会受旋转影响；三槽应足够容纳各物体且可稳定放置，桌面拥挤不能替代比较能力。</x:v>
      </x:c>
      <x:c r="N68" s="19" t="str">
        <x:v>定义物体规范姿态/本征高度、排序方向和可见槽位；保持操作区紧凑，实际搬运并稳定释放。分对象及分顺序关系报告部分完成。</x:v>
      </x:c>
      <x:c r="O68" s="19" t="str">
        <x:v>既定讨论方案；本次进行设计审查。D1/D2无正式task YAML、锁定的具体scene、资产尺寸或物理执行证据；不提供虚构来源链接。</x:v>
      </x:c>
      <x:c r="P68" s="30" t="str"/>
      <x:c r="Q68" s="19" t="str">
        <x:v>plan_size_d2_1</x:v>
      </x:c>
    </x:row>
    <x:row r="69" ht="60" customHeight="1">
      <x:c r="A69" s="17" t="str">
        <x:v>D2-2</x:v>
      </x:c>
      <x:c r="B69" s="23" t="str">
        <x:v>是</x:v>
      </x:c>
      <x:c r="C69" s="17" t="str">
        <x:v>新增方案／未实现</x:v>
      </x:c>
      <x:c r="D69" s="17" t="str">
        <x:v>office_cubicles (exact scene uncommitted)</x:v>
      </x:c>
      <x:c r="E69" s="17" t="str">
        <x:v>lobby (uncommitted)</x:v>
      </x:c>
      <x:c r="F69" s="17" t="str">
        <x:v>Metric Comparison</x:v>
      </x:c>
      <x:c r="G69" s="17" t="str">
        <x:v>Relational Sorting</x:v>
      </x:c>
      <x:c r="H69" s="17" t="str">
        <x:v>Spatial Reconfiguration</x:v>
      </x:c>
      <x:c r="I69" s="17" t="str">
        <x:v>Width-based physical sorting</x:v>
      </x:c>
      <x:c r="J69" s="17" t="str">
        <x:v>拟 4 个待排序物体 + 4 个放置位置；最终资产未定</x:v>
      </x:c>
      <x:c r="K69" s="27" t="str">
        <x:v>待测；源坐标不提供房间或可通行面积</x:v>
      </x:c>
      <x:c r="L69" s="17" t="str">
        <x:v>office_cubicles lobby 为预选；紧凑局部宽度排序站，不代表整栋办公室尺度</x:v>
      </x:c>
      <x:c r="M69" s="17" t="str">
        <x:v>多 1 个物体同时增加比较、记忆和抓取负担；若与 D2-1 同时改变房型、维度与数量，不能把差异归因于单一因素。</x:v>
      </x:c>
      <x:c r="N69" s="17" t="str">
        <x:v>定义本征宽度、容差和并列规则；匹配局部搬运距离，留足 4 个稳定槽位；数量效应应另做同站 3/4 个对象配对变体。</x:v>
      </x:c>
      <x:c r="O69" s="17" t="str">
        <x:v>既定讨论方案；本次进行设计审查。D1/D2无正式task YAML、锁定的具体scene、资产尺寸或物理执行证据；不提供虚构来源链接。</x:v>
      </x:c>
      <x:c r="P69" s="31" t="str"/>
      <x:c r="Q69" s="17" t="str">
        <x:v>plan_size_d2_2</x:v>
      </x:c>
    </x:row>
  </x:sheetData>
  <x:conditionalFormatting sqref="B6:B69">
    <x:cfRule type="containsText" dxfId="0" priority="1" operator="containsText" text="否"/>
  </x:conditionalFormatting>
  <x:conditionalFormatting sqref="C6:C69">
    <x:cfRule type="containsText" dxfId="1" priority="2" operator="containsText" text="计划"/>
    <x:cfRule type="containsText" dxfId="2" priority="3" operator="containsText" text="新增"/>
    <x:cfRule type="containsText" dxfId="3" priority="4" operator="containsText" text="待"/>
  </x:conditionalFormatting>
  <x:dataValidations count="1">
    <x:dataValidation type="list" sqref="B6:B69">
      <x:formula1>"是,否"</x:formula1>
    </x:dataValidation>
  </x:dataValidations>
  <x:pageMargins left="0.7" right="0.7" top="0.75" bottom="0.75" header="0.3" footer="0.3"/>
  <x:tableParts count="1">
    <x:tablePart xmlns:r="http://schemas.openxmlformats.org/officeDocument/2006/relationships" r:id="Rd32d54b4102841bd"/>
  </x:tableParts>
</x:worksheet>
</file>

<file path=xl/worksheets/sheet3.xml><?xml version="1.0" encoding="utf-8"?>
<x:worksheet xmlns:x="http://schemas.openxmlformats.org/spreadsheetml/2006/main">
  <x:sheetPr>
    <x:tabColor rgb="FF78689E"/>
  </x:sheetPr>
  <x:sheetViews>
    <x:sheetView showGridLines="0" workbookViewId="0">
      <x:pane xSplit="1" ySplit="5" topLeftCell="B6" activePane="bottomRight" state="frozen"/>
    </x:sheetView>
  </x:sheetViews>
  <x:sheetFormatPr defaultRowHeight="15"/>
  <x:cols>
    <x:col min="1" max="1" width="20.559999465942383" hidden="0" customWidth="1"/>
    <x:col min="2" max="2" width="36.66999816894531" hidden="0" customWidth="1"/>
    <x:col min="3" max="3" width="43.88999938964844" hidden="0" customWidth="1"/>
    <x:col min="4" max="4" width="38.88999938964844" hidden="0" customWidth="1"/>
    <x:col min="5" max="5" width="37.779998779296875" hidden="0" customWidth="1"/>
  </x:cols>
  <x:sheetData>
    <x:row r="1" ht="20" customHeight="1">
      <x:c r="A1" s="2"/>
      <x:c r="B1" s="2"/>
      <x:c r="C1" s="2"/>
      <x:c r="D1" s="2"/>
      <x:c r="E1" s="2"/>
    </x:row>
    <x:row r="2" ht="28" customHeight="1">
      <x:c r="A2" s="3" t="str">
        <x:v>场景适合度指标</x:v>
      </x:c>
      <x:c r="B2" s="2"/>
      <x:c r="C2" s="2"/>
      <x:c r="D2" s="2"/>
      <x:c r="E2" s="2"/>
    </x:row>
    <x:row r="3" ht="20" customHeight="1">
      <x:c r="A3" s="4" t="str">
        <x:v>各指标独立检查。缺失的原生几何与执行数据标为待测，不合成为未经校准的总分。</x:v>
      </x:c>
      <x:c r="B3" s="2"/>
      <x:c r="C3" s="2"/>
      <x:c r="D3" s="2"/>
      <x:c r="E3" s="2"/>
    </x:row>
    <x:row r="4" ht="20" customHeight="1">
      <x:c r="A4" s="2"/>
      <x:c r="B4" s="2"/>
      <x:c r="C4" s="2"/>
      <x:c r="D4" s="2"/>
      <x:c r="E4" s="2"/>
    </x:row>
    <x:row r="5" ht="30" customHeight="1">
      <x:c r="A5" s="9" t="str">
        <x:v>指标</x:v>
      </x:c>
      <x:c r="B5" s="10" t="str">
        <x:v>定义与单位</x:v>
      </x:c>
      <x:c r="C5" s="10" t="str">
        <x:v>测量方式</x:v>
      </x:c>
      <x:c r="D5" s="10" t="str">
        <x:v>适合度判断</x:v>
      </x:c>
      <x:c r="E5" s="11" t="str">
        <x:v>当前证据 / 所需补充</x:v>
      </x:c>
    </x:row>
    <x:row r="6" ht="60" customHeight="1">
      <x:c r="A6" s="18" t="str">
        <x:v>空间范围分层</x:v>
      </x:c>
      <x:c r="B6" s="18" t="str">
        <x:v>分别记录加载区域、R1 出生连通可通行区域、任务实际活动区域。</x:v>
      </x:c>
      <x:c r="C6" s="18" t="str">
        <x:v>房间标签像素×分辨率²；按机器人和持物体碰撞膨胀占据图；再标记证据/操作节点的可达区域。</x:v>
      </x:c>
      <x:c r="D6" s="18" t="str">
        <x:v>房间标签面积不可冒充可通行面积；整栋大不代表局部站位足够。</x:v>
      </x:c>
      <x:c r="E6" s="18" t="str">
        <x:v>仅4项有当前读到的标签面积；全体可通行面积待测。</x:v>
      </x:c>
    </x:row>
    <x:row r="7" ht="60" customHeight="1">
      <x:c r="A7" s="16" t="str">
        <x:v>任务相关路径</x:v>
      </x:c>
      <x:c r="B7" s="16" t="str">
        <x:v>获取证据、到达目标、运输/返回各有距离；路径与房间数分开。</x:v>
      </x:c>
      <x:c r="C7" s="16" t="str">
        <x:v>基于实际门状态、机器人足迹和持物包络求可行路径；记录参考路径与执行轨迹。</x:v>
      </x:c>
      <x:c r="D7" s="16" t="str">
        <x:v>旧 ESI 路长是参考；11.36 m/6房与43.83 m/4房不能只按房数分级。</x:v>
      </x:c>
      <x:c r="E7" s="16" t="str">
        <x:v>2条源路线已核对；真实R1路长和预算尚未校准。</x:v>
      </x:c>
    </x:row>
    <x:row r="8" ht="60" customHeight="1">
      <x:c r="A8" s="19" t="str">
        <x:v>语义物体构成</x:v>
      </x:c>
      <x:c r="B8" s="19" t="str">
        <x:v>目标、候选、相似干扰、支持/装置、背景物分列，按独立实例去重。</x:v>
      </x:c>
      <x:c r="C8" s="19" t="str">
        <x:v>按场景根实例+task binding关联；隐藏phase复用实体、别名、桌腿/货架面板不得重复算语义物体。</x:v>
      </x:c>
      <x:c r="D8" s="19" t="str">
        <x:v>多放无关物体不等于信息难；区分真正相似候选与纯障碍。</x:v>
      </x:c>
      <x:c r="E8" s="19" t="str">
        <x:v>现有51项相关物体/区域已核对；所有原生背景物总数未完整测量。</x:v>
      </x:c>
    </x:row>
    <x:row r="9" ht="60" customHeight="1">
      <x:c r="A9" s="16" t="str">
        <x:v>夹持与操作净空间</x:v>
      </x:c>
      <x:c r="B9" s="16" t="str">
        <x:v>夹点、入口、局部可达、持物扫掠、稳定释放和撤手共同决定可执行性。</x:v>
      </x:c>
      <x:c r="C9" s="16" t="str">
        <x:v>量局部截面、容器口/瓶颈、顶板/通道；验证碰撞、IK及连续运动。</x:v>
      </x:c>
      <x:c r="D9" s="16" t="str">
        <x:v>整体AABB超过10cm不自动判不可抓；瓶身能容纳不等于瓶口能通过。</x:v>
      </x:c>
      <x:c r="E9" s="16" t="str">
        <x:v>若干native AABB/台面已有；局部 grasp/IK/完整路径多待验证。</x:v>
      </x:c>
    </x:row>
    <x:row r="10" ht="60" customHeight="1">
      <x:c r="A10" s="19" t="str">
        <x:v>初始输入与歧义</x:v>
      </x:c>
      <x:c r="B10" s="19" t="str">
        <x:v>所有实际Agent输入是否已经直接给出答案或所需状态。</x:v>
      </x:c>
      <x:c r="C10" s="19" t="str">
        <x:v>审公开文本、初始overview RGB与8路mounted视图；区别human_only平面图；测试初始信息基线。</x:v>
      </x:c>
      <x:c r="D10" s="19" t="str">
        <x:v>初始可见可以是对照；词面答案泄露必须修复。</x:v>
      </x:c>
      <x:c r="E10" s="19" t="str">
        <x:v>school_gym区域题已发现明确词面捷径；overview RGB内容需逐项看图。</x:v>
      </x:c>
    </x:row>
    <x:row r="11" ht="60" customHeight="1">
      <x:c r="A11" s="16" t="str">
        <x:v>信息对决策的作用</x:v>
      </x:c>
      <x:c r="B11" s="16" t="str">
        <x:v>改变隐藏状态是否改变正确动作；获得证据是否能改变决策。</x:v>
      </x:c>
      <x:c r="C11" s="16" t="str">
        <x:v>构造观测相似但正确动作不同的配对状态；比较证据有/无/置乱与固定策略。</x:v>
      </x:c>
      <x:c r="D11" s="16" t="str">
        <x:v>强制看、强制做3次实验都不证明在使用信息。</x:v>
      </x:c>
      <x:c r="E11" s="16" t="str">
        <x:v>斜坡3项历史probe均可选ball；需要赢家变化及证据对照。</x:v>
      </x:c>
    </x:row>
    <x:row r="12" ht="60" customHeight="1">
      <x:c r="A12" s="19" t="str">
        <x:v>记忆与状态修正</x:v>
      </x:c>
      <x:c r="B12" s="19" t="str">
        <x:v>事件数、延迟、干扰、历史不可恢复性和状态变化分别计量。</x:v>
      </x:c>
      <x:c r="C12" s="19" t="str">
        <x:v>操纵初始排列/遇见顺序/延迟；保持当前画面匹配，比较完整与消融历史。</x:v>
      </x:c>
      <x:c r="D12" s="19" t="str">
        <x:v>3个事件不称长期记忆；固定初始状态可能让无需记忆的策略成功。</x:v>
      </x:c>
      <x:c r="E12" s="19" t="str">
        <x:v>AgentObs3物体短历史；Change6项共用初态，需置换。</x:v>
      </x:c>
    </x:row>
    <x:row r="13" ht="60" customHeight="1">
      <x:c r="A13" s="16" t="str">
        <x:v>执行和计划负担</x:v>
      </x:c>
      <x:c r="B13" s="16" t="str">
        <x:v>操作次数、精度、双手占用、支撑链与分支；计划来自给定/推断/自适应。</x:v>
      </x:c>
      <x:c r="C13" s="16" t="str">
        <x:v>记录grasp/place/tool/cloth/door次数、有效子目标、失败恢复；plan_source=supplied/inferred/adaptive。</x:v>
      </x:c>
      <x:c r="D13" s="16" t="str">
        <x:v>显式操作顺序或路线不能计为顺序推断；信息难度与控制难度分开。</x:v>
      </x:c>
      <x:c r="E13" s="16" t="str">
        <x:v>ActionOrder3、LongNav2已明确给定顺序；布料/托盘增加控制负担。</x:v>
      </x:c>
    </x:row>
    <x:row r="14" ht="60" customHeight="1">
      <x:c r="A14" s="19" t="str">
        <x:v>物理稳定与重复性</x:v>
      </x:c>
      <x:c r="B14" s="19" t="str">
        <x:v>对象受支持、非穿透、目标能稳定成立；模拟/复位结果可重复。</x:v>
      </x:c>
      <x:c r="C14" s="19" t="str">
        <x:v>沉降检查、支撑/接触谓词、稳定时间窗、真实持物试验；记录assisted grasp设置。</x:v>
      </x:c>
      <x:c r="D14" s="19" t="str">
        <x:v>初始化成功、被动释放成功和自主完整执行是不同证据。</x:v>
      </x:c>
      <x:c r="E14" s="19" t="str">
        <x:v>读取的历史receipt不构成本次完整执行认证。</x:v>
      </x:c>
    </x:row>
    <x:row r="15" ht="60" customHeight="1">
      <x:c r="A15" s="16" t="str">
        <x:v>家族多样性与划分</x:v>
      </x:c>
      <x:c r="B15" s="16" t="str">
        <x:v>建筑、房间、布局模板、资产身份、事件、物理参数、seed分别统计。</x:v>
      </x:c>
      <x:c r="C15" s="16" t="str">
        <x:v>建立scene/template family键，按建筑和模板分组划分；分family与mechanism报告。</x:v>
      </x:c>
      <x:c r="D15" s="16" t="str">
        <x:v>重复布局可作为受控对比，但不能计成新场景；不随机按task ID跨split。</x:v>
      </x:c>
      <x:c r="E15" s="16" t="str">
        <x:v>51现有只有17 scene IDs；house_single_floor16项；Change6共用一布局。</x:v>
      </x:c>
    </x:row>
    <x:row r="16" ht="60" customHeight="1">
      <x:c r="A16" s="19" t="str">
        <x:v>预算与停止</x:v>
      </x:c>
      <x:c r="B16" s="19" t="str">
        <x:v>decision、低层动作、模拟时间、真实wall time、模型token/latency分开。</x:v>
      </x:c>
      <x:c r="C16" s="19" t="str">
        <x:v>用已知目标策略/操作者轨迹校准合法完成分布；单独记录探索与执行成本。</x:v>
      </x:c>
      <x:c r="D16" s="19" t="str">
        <x:v>长路径任务不可与局部任务共享拍脑袋预算；no-change正确停止应得分。</x:v>
      </x:c>
      <x:c r="E16" s="19" t="str">
        <x:v>当前长路线预算明确calibrated=false。</x:v>
      </x:c>
    </x:row>
    <x:row r="17" ht="60" customHeight="1">
      <x:c r="A17" s="17" t="str">
        <x:v>证据与评分分层</x:v>
      </x:c>
      <x:c r="B17" s="17" t="str">
        <x:v>静态、初始化、被动物理、控制可行、自主Agent成功、人工审查独立标记。</x:v>
      </x:c>
      <x:c r="C17" s="17" t="str">
        <x:v>每项保留revision、来源、当前状态；按需要改造/应保持、given/inferred等切片统计。</x:v>
      </x:c>
      <x:c r="D17" s="17" t="str">
        <x:v>缺失写待测；不编造总适合度分数；人工通过不等于自主执行通过，反之亦然。</x:v>
      </x:c>
      <x:c r="E17" s="17" t="str">
        <x:v>本表为静态审计和既有收据复核；61是候选集合数，非已通过61项。</x:v>
      </x:c>
    </x:row>
  </x:sheetData>
  <x:pageMargins left="0.7" right="0.7" top="0.75" bottom="0.75" header="0.3" footer="0.3"/>
  <x:tableParts count="1">
    <x:tablePart xmlns:r="http://schemas.openxmlformats.org/officeDocument/2006/relationships" r:id="Rdbcb082e88ca43f7"/>
  </x:tableParts>
</x:worksheet>
</file>